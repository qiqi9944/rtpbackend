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702"/>
  <workbookPr filterPrivacy="1" hidePivotFieldList="1"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19420" windowHeight="10420" tabRatio="653"/>
  </bookViews>
  <sheets>
    <sheet name="Cover " sheetId="6" r:id="rId1"/>
    <sheet name="Important Notice" sheetId="7" r:id="rId2"/>
    <sheet name="Index" sheetId="9" r:id="rId3"/>
    <sheet name="1. TV Panel Shipment" sheetId="16" r:id="rId4"/>
    <sheet name="2. TV Panel Shipment by Area" sheetId="17" r:id="rId5"/>
    <sheet name="3. TV Panel Average Size" sheetId="4" r:id="rId6"/>
    <sheet name="4. TV Panel Size Structure" sheetId="3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1" hidden="1">'Important Notice'!$E$5:$E$36</definedName>
    <definedName name="_UP1" localSheetId="4">#REF!</definedName>
    <definedName name="_UP1" localSheetId="0">#REF!</definedName>
    <definedName name="_UP1" localSheetId="1">#REF!</definedName>
    <definedName name="_UP1">#REF!</definedName>
    <definedName name="_UP2" localSheetId="4">#REF!</definedName>
    <definedName name="_UP2" localSheetId="0">#REF!</definedName>
    <definedName name="_UP2" localSheetId="1">#REF!</definedName>
    <definedName name="_UP2">#REF!</definedName>
    <definedName name="Application" localSheetId="4">#REF!</definedName>
    <definedName name="Application" localSheetId="0">#REF!</definedName>
    <definedName name="Application" localSheetId="1">#REF!</definedName>
    <definedName name="Application">#REF!</definedName>
    <definedName name="AppList" localSheetId="4">#REF!</definedName>
    <definedName name="AppList" localSheetId="0">#REF!</definedName>
    <definedName name="AppList" localSheetId="1">#REF!</definedName>
    <definedName name="AppList">#REF!</definedName>
    <definedName name="Aspect" localSheetId="4">#REF!</definedName>
    <definedName name="Aspect" localSheetId="0">#REF!</definedName>
    <definedName name="Aspect" localSheetId="1">#REF!</definedName>
    <definedName name="Aspect">#REF!</definedName>
    <definedName name="AvailableMGList" localSheetId="4">#REF!</definedName>
    <definedName name="AvailableMGList" localSheetId="0">#REF!</definedName>
    <definedName name="AvailableMGList" localSheetId="1">#REF!</definedName>
    <definedName name="AvailableMGList">#REF!</definedName>
    <definedName name="BldgDepRate" localSheetId="4">#REF!</definedName>
    <definedName name="BldgDepRate" localSheetId="0">#REF!</definedName>
    <definedName name="BldgDepRate" localSheetId="1">#REF!</definedName>
    <definedName name="BldgDepRate">#REF!</definedName>
    <definedName name="BldgSLNDep" localSheetId="4">#REF!</definedName>
    <definedName name="BldgSLNDep" localSheetId="0">#REF!</definedName>
    <definedName name="BldgSLNDep" localSheetId="1">#REF!</definedName>
    <definedName name="BldgSLNDep">#REF!</definedName>
    <definedName name="BLP_Apps" localSheetId="4">#REF!</definedName>
    <definedName name="BLP_Apps" localSheetId="0">#REF!</definedName>
    <definedName name="BLP_Apps" localSheetId="1">#REF!</definedName>
    <definedName name="BLP_Apps">#REF!</definedName>
    <definedName name="CellOthers" localSheetId="4">#REF!</definedName>
    <definedName name="CellOthers" localSheetId="0">#REF!</definedName>
    <definedName name="CellOthers" localSheetId="1">#REF!</definedName>
    <definedName name="CellOthers">#REF!</definedName>
    <definedName name="CFChoice" localSheetId="4">#REF!</definedName>
    <definedName name="CFChoice" localSheetId="0">#REF!</definedName>
    <definedName name="CFChoice" localSheetId="1">#REF!</definedName>
    <definedName name="CFChoice">#REF!</definedName>
    <definedName name="CFPrice" localSheetId="4">#REF!</definedName>
    <definedName name="CFPrice" localSheetId="0">#REF!</definedName>
    <definedName name="CFPrice" localSheetId="1">#REF!</definedName>
    <definedName name="CFPrice">#REF!</definedName>
    <definedName name="CFProc" localSheetId="4">#REF!</definedName>
    <definedName name="CFProc" localSheetId="0">#REF!</definedName>
    <definedName name="CFProc" localSheetId="1">#REF!</definedName>
    <definedName name="CFProc">#REF!</definedName>
    <definedName name="CFProcList" localSheetId="4">#REF!</definedName>
    <definedName name="CFProcList" localSheetId="0">#REF!</definedName>
    <definedName name="CFProcList" localSheetId="1">#REF!</definedName>
    <definedName name="CFProcList">#REF!</definedName>
    <definedName name="ChemPrice" localSheetId="4">#REF!</definedName>
    <definedName name="ChemPrice" localSheetId="0">#REF!</definedName>
    <definedName name="ChemPrice" localSheetId="1">#REF!</definedName>
    <definedName name="ChemPrice">#REF!</definedName>
    <definedName name="CodeList" localSheetId="4">#REF!</definedName>
    <definedName name="CodeList" localSheetId="0">#REF!</definedName>
    <definedName name="CodeList" localSheetId="1">#REF!</definedName>
    <definedName name="CodeList">#REF!</definedName>
    <definedName name="DBBldgDep" localSheetId="4">#REF!</definedName>
    <definedName name="DBBldgDep" localSheetId="0">#REF!</definedName>
    <definedName name="DBBldgDep" localSheetId="1">#REF!</definedName>
    <definedName name="DBBldgDep">#REF!</definedName>
    <definedName name="DBBldgDepChoice" localSheetId="4">#REF!</definedName>
    <definedName name="DBBldgDepChoice" localSheetId="0">#REF!</definedName>
    <definedName name="DBBldgDepChoice" localSheetId="1">#REF!</definedName>
    <definedName name="DBBldgDepChoice">#REF!</definedName>
    <definedName name="DBBldgInterestChoice" localSheetId="4">#REF!</definedName>
    <definedName name="DBBldgInterestChoice" localSheetId="0">#REF!</definedName>
    <definedName name="DBBldgInterestChoice" localSheetId="1">#REF!</definedName>
    <definedName name="DBBldgInterestChoice">#REF!</definedName>
    <definedName name="DBDep" localSheetId="4">#REF!</definedName>
    <definedName name="DBDep" localSheetId="0">#REF!</definedName>
    <definedName name="DBDep" localSheetId="1">#REF!</definedName>
    <definedName name="DBDep">#REF!</definedName>
    <definedName name="DBDepChoice" localSheetId="4">#REF!</definedName>
    <definedName name="DBDepChoice" localSheetId="0">#REF!</definedName>
    <definedName name="DBDepChoice" localSheetId="1">#REF!</definedName>
    <definedName name="DBDepChoice">#REF!</definedName>
    <definedName name="DBInterestChoice" localSheetId="4">#REF!</definedName>
    <definedName name="DBInterestChoice" localSheetId="0">#REF!</definedName>
    <definedName name="DBInterestChoice" localSheetId="1">#REF!</definedName>
    <definedName name="DBInterestChoice">#REF!</definedName>
    <definedName name="DepBldgDBBase" localSheetId="4">#REF!</definedName>
    <definedName name="DepBldgDBBase" localSheetId="0">#REF!</definedName>
    <definedName name="DepBldgDBBase" localSheetId="1">#REF!</definedName>
    <definedName name="DepBldgDBBase">#REF!</definedName>
    <definedName name="DepBldgSLNBase" localSheetId="4">#REF!</definedName>
    <definedName name="DepBldgSLNBase" localSheetId="0">#REF!</definedName>
    <definedName name="DepBldgSLNBase" localSheetId="1">#REF!</definedName>
    <definedName name="DepBldgSLNBase">#REF!</definedName>
    <definedName name="DepDBBase" localSheetId="4">#REF!</definedName>
    <definedName name="DepDBBase" localSheetId="0">#REF!</definedName>
    <definedName name="DepDBBase" localSheetId="1">#REF!</definedName>
    <definedName name="DepDBBase">#REF!</definedName>
    <definedName name="DepFix" localSheetId="4">#REF!</definedName>
    <definedName name="DepFix" localSheetId="0">#REF!</definedName>
    <definedName name="DepFix" localSheetId="1">#REF!</definedName>
    <definedName name="DepFix">#REF!</definedName>
    <definedName name="DepMethod" localSheetId="4">#REF!</definedName>
    <definedName name="DepMethod" localSheetId="0">#REF!</definedName>
    <definedName name="DepMethod" localSheetId="1">#REF!</definedName>
    <definedName name="DepMethod">#REF!</definedName>
    <definedName name="DepMethodList" localSheetId="4">#REF!</definedName>
    <definedName name="DepMethodList" localSheetId="0">#REF!</definedName>
    <definedName name="DepMethodList" localSheetId="1">#REF!</definedName>
    <definedName name="DepMethodList">#REF!</definedName>
    <definedName name="DepMethodText" localSheetId="4">#REF!</definedName>
    <definedName name="DepMethodText" localSheetId="0">#REF!</definedName>
    <definedName name="DepMethodText" localSheetId="1">#REF!</definedName>
    <definedName name="DepMethodText">#REF!</definedName>
    <definedName name="DepRate" localSheetId="4">#REF!</definedName>
    <definedName name="DepRate" localSheetId="0">#REF!</definedName>
    <definedName name="DepRate" localSheetId="1">#REF!</definedName>
    <definedName name="DepRate">#REF!</definedName>
    <definedName name="DepSLNBase" localSheetId="4">#REF!</definedName>
    <definedName name="DepSLNBase" localSheetId="0">#REF!</definedName>
    <definedName name="DepSLNBase" localSheetId="1">#REF!</definedName>
    <definedName name="DepSLNBase">#REF!</definedName>
    <definedName name="DepYear" localSheetId="4">#REF!</definedName>
    <definedName name="DepYear" localSheetId="0">#REF!</definedName>
    <definedName name="DepYear" localSheetId="1">#REF!</definedName>
    <definedName name="DepYear">#REF!</definedName>
    <definedName name="DepYearBldg" localSheetId="4">#REF!</definedName>
    <definedName name="DepYearBldg" localSheetId="0">#REF!</definedName>
    <definedName name="DepYearBldg" localSheetId="1">#REF!</definedName>
    <definedName name="DepYearBldg">#REF!</definedName>
    <definedName name="DepYearFab" localSheetId="4">#REF!</definedName>
    <definedName name="DepYearFab" localSheetId="0">#REF!</definedName>
    <definedName name="DepYearFab" localSheetId="1">#REF!</definedName>
    <definedName name="DepYearFab">#REF!</definedName>
    <definedName name="DirectLabor" localSheetId="4">#REF!</definedName>
    <definedName name="DirectLabor" localSheetId="0">#REF!</definedName>
    <definedName name="DirectLabor" localSheetId="1">#REF!</definedName>
    <definedName name="DirectLabor">#REF!</definedName>
    <definedName name="DispTech" localSheetId="4">#REF!</definedName>
    <definedName name="DispTech" localSheetId="0">#REF!</definedName>
    <definedName name="DispTech" localSheetId="1">#REF!</definedName>
    <definedName name="DispTech">#REF!</definedName>
    <definedName name="DriveBScanICChChoice" localSheetId="4">[1]Definition!#REF!</definedName>
    <definedName name="DriveBScanICChChoice" localSheetId="0">[1]Definition!#REF!</definedName>
    <definedName name="DriveBScanICChChoice" localSheetId="1">[1]Definition!#REF!</definedName>
    <definedName name="DriveBScanICChChoice">[1]Definition!#REF!</definedName>
    <definedName name="DriverP_Apps" localSheetId="4">#REF!</definedName>
    <definedName name="DriverP_Apps" localSheetId="0">#REF!</definedName>
    <definedName name="DriverP_Apps" localSheetId="1">#REF!</definedName>
    <definedName name="DriverP_Apps">#REF!</definedName>
    <definedName name="Error" localSheetId="4">#REF!</definedName>
    <definedName name="Error" localSheetId="0">#REF!</definedName>
    <definedName name="Error" localSheetId="1">#REF!</definedName>
    <definedName name="Error">#REF!</definedName>
    <definedName name="_xlnm.Extract" localSheetId="1">'Important Notice'!$M$8</definedName>
    <definedName name="FabOp" localSheetId="4">#REF!</definedName>
    <definedName name="FabOp" localSheetId="0">#REF!</definedName>
    <definedName name="FabOp" localSheetId="1">#REF!</definedName>
    <definedName name="FabOp">#REF!</definedName>
    <definedName name="FabOperation" localSheetId="4">#REF!</definedName>
    <definedName name="FabOperation" localSheetId="0">#REF!</definedName>
    <definedName name="FabOperation" localSheetId="1">#REF!</definedName>
    <definedName name="FabOperation">#REF!</definedName>
    <definedName name="FilmMargin" localSheetId="4">#REF!</definedName>
    <definedName name="FilmMargin" localSheetId="0">#REF!</definedName>
    <definedName name="FilmMargin" localSheetId="1">#REF!</definedName>
    <definedName name="FilmMargin">#REF!</definedName>
    <definedName name="Gen" localSheetId="4">#REF!</definedName>
    <definedName name="Gen" localSheetId="0">#REF!</definedName>
    <definedName name="Gen" localSheetId="1">#REF!</definedName>
    <definedName name="Gen">#REF!</definedName>
    <definedName name="GenTech1" localSheetId="4">#REF!</definedName>
    <definedName name="GenTech1" localSheetId="0">#REF!</definedName>
    <definedName name="GenTech1" localSheetId="1">#REF!</definedName>
    <definedName name="GenTech1">#REF!</definedName>
    <definedName name="Glass" localSheetId="4">#REF!</definedName>
    <definedName name="Glass" localSheetId="0">#REF!</definedName>
    <definedName name="Glass" localSheetId="1">#REF!</definedName>
    <definedName name="Glass">#REF!</definedName>
    <definedName name="GlassPrice" localSheetId="4">#REF!</definedName>
    <definedName name="GlassPrice" localSheetId="0">#REF!</definedName>
    <definedName name="GlassPrice" localSheetId="1">#REF!</definedName>
    <definedName name="GlassPrice">#REF!</definedName>
    <definedName name="IndirectLabor" localSheetId="4">#REF!</definedName>
    <definedName name="IndirectLabor" localSheetId="0">#REF!</definedName>
    <definedName name="IndirectLabor" localSheetId="1">#REF!</definedName>
    <definedName name="IndirectLabor">#REF!</definedName>
    <definedName name="Interest" localSheetId="4">#REF!</definedName>
    <definedName name="Interest" localSheetId="0">#REF!</definedName>
    <definedName name="Interest" localSheetId="1">#REF!</definedName>
    <definedName name="Interest">#REF!</definedName>
    <definedName name="InvestErrorFlag" localSheetId="4">#REF!</definedName>
    <definedName name="InvestErrorFlag" localSheetId="0">#REF!</definedName>
    <definedName name="InvestErrorFlag" localSheetId="1">#REF!</definedName>
    <definedName name="InvestErrorFlag">#REF!</definedName>
    <definedName name="InvP_Apps" localSheetId="4">#REF!</definedName>
    <definedName name="InvP_Apps" localSheetId="0">#REF!</definedName>
    <definedName name="InvP_Apps" localSheetId="1">#REF!</definedName>
    <definedName name="InvP_Apps">#REF!</definedName>
    <definedName name="InvQ" localSheetId="4">#REF!</definedName>
    <definedName name="InvQ" localSheetId="0">#REF!</definedName>
    <definedName name="InvQ" localSheetId="1">#REF!</definedName>
    <definedName name="InvQ">#REF!</definedName>
    <definedName name="InvQNum" localSheetId="4">#REF!</definedName>
    <definedName name="InvQNum" localSheetId="0">#REF!</definedName>
    <definedName name="InvQNum" localSheetId="1">#REF!</definedName>
    <definedName name="InvQNum">#REF!</definedName>
    <definedName name="InvQY" localSheetId="4">#REF!</definedName>
    <definedName name="InvQY" localSheetId="0">#REF!</definedName>
    <definedName name="InvQY" localSheetId="1">#REF!</definedName>
    <definedName name="InvQY">#REF!</definedName>
    <definedName name="Labor" localSheetId="4">#REF!</definedName>
    <definedName name="Labor" localSheetId="0">#REF!</definedName>
    <definedName name="Labor" localSheetId="1">#REF!</definedName>
    <definedName name="Labor">#REF!</definedName>
    <definedName name="LCPricePerGram" localSheetId="4">#REF!</definedName>
    <definedName name="LCPricePerGram" localSheetId="0">#REF!</definedName>
    <definedName name="LCPricePerGram" localSheetId="1">#REF!</definedName>
    <definedName name="LCPricePerGram">#REF!</definedName>
    <definedName name="MasterTech" localSheetId="4">#REF!</definedName>
    <definedName name="MasterTech" localSheetId="0">#REF!</definedName>
    <definedName name="MasterTech" localSheetId="1">#REF!</definedName>
    <definedName name="MasterTech">#REF!</definedName>
    <definedName name="MGArea" localSheetId="4">#REF!</definedName>
    <definedName name="MGArea" localSheetId="0">#REF!</definedName>
    <definedName name="MGArea" localSheetId="1">#REF!</definedName>
    <definedName name="MGArea">#REF!</definedName>
    <definedName name="MGList" localSheetId="4">#REF!</definedName>
    <definedName name="MGList" localSheetId="0">#REF!</definedName>
    <definedName name="MGList" localSheetId="1">#REF!</definedName>
    <definedName name="MGList">#REF!</definedName>
    <definedName name="Module" localSheetId="4">#REF!</definedName>
    <definedName name="Module" localSheetId="0">#REF!</definedName>
    <definedName name="Module" localSheetId="1">#REF!</definedName>
    <definedName name="Module">#REF!</definedName>
    <definedName name="ModuleCode" localSheetId="4">#REF!</definedName>
    <definedName name="ModuleCode" localSheetId="0">#REF!</definedName>
    <definedName name="ModuleCode" localSheetId="1">#REF!</definedName>
    <definedName name="ModuleCode">#REF!</definedName>
    <definedName name="ModuleList" localSheetId="4">#REF!</definedName>
    <definedName name="ModuleList" localSheetId="0">#REF!</definedName>
    <definedName name="ModuleList" localSheetId="1">#REF!</definedName>
    <definedName name="ModuleList">#REF!</definedName>
    <definedName name="ModulePrice" localSheetId="4">#REF!</definedName>
    <definedName name="ModulePrice" localSheetId="0">#REF!</definedName>
    <definedName name="ModulePrice" localSheetId="1">#REF!</definedName>
    <definedName name="ModulePrice">#REF!</definedName>
    <definedName name="NumQ" localSheetId="0">[2]Parameter!$AH$9:$AI$76</definedName>
    <definedName name="NumQ" localSheetId="1">[2]Parameter!$AH$9:$AI$76</definedName>
    <definedName name="NumQ">[2]Parameter!$AH$9:$AI$76</definedName>
    <definedName name="ODFFactor" localSheetId="4">#REF!</definedName>
    <definedName name="ODFFactor" localSheetId="0">#REF!</definedName>
    <definedName name="ODFFactor" localSheetId="1">#REF!</definedName>
    <definedName name="ODFFactor" localSheetId="2">#REF!</definedName>
    <definedName name="ODFFactor">#REF!</definedName>
    <definedName name="ODFList" localSheetId="4">#REF!</definedName>
    <definedName name="ODFList" localSheetId="0">#REF!</definedName>
    <definedName name="ODFList" localSheetId="1">#REF!</definedName>
    <definedName name="ODFList">#REF!</definedName>
    <definedName name="OHS" localSheetId="4">#REF!</definedName>
    <definedName name="OHS" localSheetId="0">#REF!</definedName>
    <definedName name="OHS" localSheetId="1">#REF!</definedName>
    <definedName name="OHS">#REF!</definedName>
    <definedName name="P_LC" localSheetId="4">#REF!</definedName>
    <definedName name="P_LC" localSheetId="0">#REF!</definedName>
    <definedName name="P_LC" localSheetId="1">#REF!</definedName>
    <definedName name="P_LC">#REF!</definedName>
    <definedName name="P_WV" localSheetId="4">#REF!</definedName>
    <definedName name="P_WV" localSheetId="0">#REF!</definedName>
    <definedName name="P_WV" localSheetId="1">#REF!</definedName>
    <definedName name="P_WV">#REF!</definedName>
    <definedName name="PanelDB" localSheetId="0">[3]Parameter!$C$8:$K$43</definedName>
    <definedName name="PanelDB" localSheetId="1">[3]Parameter!$C$8:$K$43</definedName>
    <definedName name="PanelDB">[3]Parameter!$C$8:$K$43</definedName>
    <definedName name="PanelDetailDB" localSheetId="4">#REF!</definedName>
    <definedName name="PanelDetailDB" localSheetId="0">#REF!</definedName>
    <definedName name="PanelDetailDB" localSheetId="1">#REF!</definedName>
    <definedName name="PanelDetailDB" localSheetId="2">#REF!</definedName>
    <definedName name="PanelDetailDB">#REF!</definedName>
    <definedName name="Panelization" localSheetId="4">#REF!</definedName>
    <definedName name="Panelization" localSheetId="0">#REF!</definedName>
    <definedName name="Panelization" localSheetId="1">#REF!</definedName>
    <definedName name="Panelization">#REF!</definedName>
    <definedName name="PanelList" localSheetId="0">[4]Parameter!$C$9:$C$24</definedName>
    <definedName name="PanelList" localSheetId="1">[4]Parameter!$C$9:$C$24</definedName>
    <definedName name="PanelList">[4]Parameter!$C$9:$C$24</definedName>
    <definedName name="PYield" localSheetId="4">#REF!</definedName>
    <definedName name="PYield" localSheetId="0">#REF!</definedName>
    <definedName name="PYield" localSheetId="1">#REF!</definedName>
    <definedName name="PYield" localSheetId="2">#REF!</definedName>
    <definedName name="PYield">#REF!</definedName>
    <definedName name="QNum" localSheetId="4">#REF!</definedName>
    <definedName name="QNum" localSheetId="0">#REF!</definedName>
    <definedName name="QNum" localSheetId="1">#REF!</definedName>
    <definedName name="QNum">#REF!</definedName>
    <definedName name="QYList" localSheetId="4">#REF!</definedName>
    <definedName name="QYList" localSheetId="0">#REF!</definedName>
    <definedName name="QYList" localSheetId="1">#REF!</definedName>
    <definedName name="QYList">#REF!</definedName>
    <definedName name="ResidualBldg" localSheetId="4">#REF!</definedName>
    <definedName name="ResidualBldg" localSheetId="0">#REF!</definedName>
    <definedName name="ResidualBldg" localSheetId="1">#REF!</definedName>
    <definedName name="ResidualBldg">#REF!</definedName>
    <definedName name="ResidualFab" localSheetId="4">#REF!</definedName>
    <definedName name="ResidualFab" localSheetId="0">#REF!</definedName>
    <definedName name="ResidualFab" localSheetId="1">#REF!</definedName>
    <definedName name="ResidualFab">#REF!</definedName>
    <definedName name="Resolution" localSheetId="4">#REF!</definedName>
    <definedName name="Resolution" localSheetId="0">#REF!</definedName>
    <definedName name="Resolution" localSheetId="1">#REF!</definedName>
    <definedName name="Resolution">#REF!</definedName>
    <definedName name="Rev_ID" localSheetId="4">#REF!</definedName>
    <definedName name="Rev_ID" localSheetId="0">#REF!</definedName>
    <definedName name="Rev_ID" localSheetId="1">#REF!</definedName>
    <definedName name="Rev_ID">#REF!</definedName>
    <definedName name="RevY_ID" localSheetId="4">#REF!</definedName>
    <definedName name="RevY_ID" localSheetId="0">#REF!</definedName>
    <definedName name="RevY_ID" localSheetId="1">#REF!</definedName>
    <definedName name="RevY_ID">#REF!</definedName>
    <definedName name="SceneNum" localSheetId="4">#REF!</definedName>
    <definedName name="SceneNum" localSheetId="0">#REF!</definedName>
    <definedName name="SceneNum" localSheetId="1">#REF!</definedName>
    <definedName name="SceneNum">#REF!</definedName>
    <definedName name="Shift" localSheetId="4">#REF!</definedName>
    <definedName name="Shift" localSheetId="0">#REF!</definedName>
    <definedName name="Shift" localSheetId="1">#REF!</definedName>
    <definedName name="Shift">#REF!</definedName>
    <definedName name="Size" localSheetId="4">#REF!</definedName>
    <definedName name="Size" localSheetId="0">#REF!</definedName>
    <definedName name="Size" localSheetId="1">#REF!</definedName>
    <definedName name="Size">#REF!</definedName>
    <definedName name="SLNDep" localSheetId="4">#REF!</definedName>
    <definedName name="SLNDep" localSheetId="0">#REF!</definedName>
    <definedName name="SLNDep" localSheetId="1">#REF!</definedName>
    <definedName name="SLNDep">#REF!</definedName>
    <definedName name="TargetPrice" localSheetId="4">#REF!</definedName>
    <definedName name="TargetPrice" localSheetId="0">#REF!</definedName>
    <definedName name="TargetPrice" localSheetId="1">#REF!</definedName>
    <definedName name="TargetPrice">#REF!</definedName>
    <definedName name="TconP_Apps" localSheetId="4">#REF!</definedName>
    <definedName name="TconP_Apps" localSheetId="0">#REF!</definedName>
    <definedName name="TconP_Apps" localSheetId="1">#REF!</definedName>
    <definedName name="TconP_Apps">#REF!</definedName>
    <definedName name="Third_Q" localSheetId="4">#REF!</definedName>
    <definedName name="Third_Q" localSheetId="0">#REF!</definedName>
    <definedName name="Third_Q" localSheetId="1">#REF!</definedName>
    <definedName name="Third_Q">#REF!</definedName>
    <definedName name="Tier" localSheetId="4">#REF!</definedName>
    <definedName name="Tier" localSheetId="0">#REF!</definedName>
    <definedName name="Tier" localSheetId="1">#REF!</definedName>
    <definedName name="Tier">#REF!</definedName>
    <definedName name="TierDB" localSheetId="4">#REF!</definedName>
    <definedName name="TierDB" localSheetId="0">#REF!</definedName>
    <definedName name="TierDB" localSheetId="1">#REF!</definedName>
    <definedName name="TierDB">#REF!</definedName>
    <definedName name="TierDiffBackLight" localSheetId="4">#REF!</definedName>
    <definedName name="TierDiffBackLight" localSheetId="0">#REF!</definedName>
    <definedName name="TierDiffBackLight" localSheetId="1">#REF!</definedName>
    <definedName name="TierDiffBackLight">#REF!</definedName>
    <definedName name="TierDiffCellOther" localSheetId="4">#REF!</definedName>
    <definedName name="TierDiffCellOther" localSheetId="0">#REF!</definedName>
    <definedName name="TierDiffCellOther" localSheetId="1">#REF!</definedName>
    <definedName name="TierDiffCellOther">#REF!</definedName>
    <definedName name="TierDiffCF" localSheetId="4">#REF!</definedName>
    <definedName name="TierDiffCF" localSheetId="0">#REF!</definedName>
    <definedName name="TierDiffCF" localSheetId="1">#REF!</definedName>
    <definedName name="TierDiffCF">#REF!</definedName>
    <definedName name="TierDiffChemical" localSheetId="4">#REF!</definedName>
    <definedName name="TierDiffChemical" localSheetId="0">#REF!</definedName>
    <definedName name="TierDiffChemical" localSheetId="1">#REF!</definedName>
    <definedName name="TierDiffChemical">#REF!</definedName>
    <definedName name="TierDiffDriver" localSheetId="4">#REF!</definedName>
    <definedName name="TierDiffDriver" localSheetId="0">#REF!</definedName>
    <definedName name="TierDiffDriver" localSheetId="1">#REF!</definedName>
    <definedName name="TierDiffDriver">#REF!</definedName>
    <definedName name="TierDiffGlass" localSheetId="4">#REF!</definedName>
    <definedName name="TierDiffGlass" localSheetId="0">#REF!</definedName>
    <definedName name="TierDiffGlass" localSheetId="1">#REF!</definedName>
    <definedName name="TierDiffGlass">#REF!</definedName>
    <definedName name="TierDiffInverter" localSheetId="4">#REF!</definedName>
    <definedName name="TierDiffInverter" localSheetId="0">#REF!</definedName>
    <definedName name="TierDiffInverter" localSheetId="1">#REF!</definedName>
    <definedName name="TierDiffInverter">#REF!</definedName>
    <definedName name="TierDiffLC" localSheetId="4">#REF!</definedName>
    <definedName name="TierDiffLC" localSheetId="0">#REF!</definedName>
    <definedName name="TierDiffLC" localSheetId="1">#REF!</definedName>
    <definedName name="TierDiffLC">#REF!</definedName>
    <definedName name="TierDiffModulePrice" localSheetId="4">#REF!</definedName>
    <definedName name="TierDiffModulePrice" localSheetId="0">#REF!</definedName>
    <definedName name="TierDiffModulePrice" localSheetId="1">#REF!</definedName>
    <definedName name="TierDiffModulePrice">#REF!</definedName>
    <definedName name="TierDiffP" localSheetId="4">#REF!</definedName>
    <definedName name="TierDiffP" localSheetId="0">#REF!</definedName>
    <definedName name="TierDiffP" localSheetId="1">#REF!</definedName>
    <definedName name="TierDiffP">#REF!</definedName>
    <definedName name="TierDiffSalary" localSheetId="4">#REF!</definedName>
    <definedName name="TierDiffSalary" localSheetId="0">#REF!</definedName>
    <definedName name="TierDiffSalary" localSheetId="1">#REF!</definedName>
    <definedName name="TierDiffSalary">#REF!</definedName>
    <definedName name="TierDiffTarget" localSheetId="4">#REF!</definedName>
    <definedName name="TierDiffTarget" localSheetId="0">#REF!</definedName>
    <definedName name="TierDiffTarget" localSheetId="1">#REF!</definedName>
    <definedName name="TierDiffTarget">#REF!</definedName>
    <definedName name="TierDiffTCon" localSheetId="4">#REF!</definedName>
    <definedName name="TierDiffTCon" localSheetId="0">#REF!</definedName>
    <definedName name="TierDiffTCon" localSheetId="1">#REF!</definedName>
    <definedName name="TierDiffTCon">#REF!</definedName>
    <definedName name="TierList" localSheetId="4">#REF!</definedName>
    <definedName name="TierList" localSheetId="0">#REF!</definedName>
    <definedName name="TierList" localSheetId="1">#REF!</definedName>
    <definedName name="TierList">#REF!</definedName>
    <definedName name="TierNum" localSheetId="4">#REF!</definedName>
    <definedName name="TierNum" localSheetId="0">#REF!</definedName>
    <definedName name="TierNum" localSheetId="1">#REF!</definedName>
    <definedName name="TierNum">#REF!</definedName>
    <definedName name="Unit_ID" localSheetId="4">#REF!</definedName>
    <definedName name="Unit_ID" localSheetId="0">#REF!</definedName>
    <definedName name="Unit_ID" localSheetId="1">#REF!</definedName>
    <definedName name="Unit_ID">#REF!</definedName>
    <definedName name="UnitTTL" localSheetId="4">#REF!</definedName>
    <definedName name="UnitTTL" localSheetId="0">#REF!</definedName>
    <definedName name="UnitTTL" localSheetId="1">#REF!</definedName>
    <definedName name="UnitTTL">#REF!</definedName>
    <definedName name="UnitY_ID" localSheetId="4">#REF!</definedName>
    <definedName name="UnitY_ID" localSheetId="0">#REF!</definedName>
    <definedName name="UnitY_ID" localSheetId="1">#REF!</definedName>
    <definedName name="UnitY_ID">#REF!</definedName>
    <definedName name="Up" localSheetId="4">#REF!</definedName>
    <definedName name="Up" localSheetId="0">#REF!</definedName>
    <definedName name="Up" localSheetId="1">#REF!</definedName>
    <definedName name="Up">#REF!</definedName>
    <definedName name="WVList" localSheetId="4">#REF!</definedName>
    <definedName name="WVList" localSheetId="0">#REF!</definedName>
    <definedName name="WVList" localSheetId="1">#REF!</definedName>
    <definedName name="WVList">#REF!</definedName>
  </definedNames>
  <calcPr calcId="191029" concurrentCalc="0"/>
  <pivotCaches>
    <pivotCache cacheId="2" r:id="rId12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1" i="16" l="1"/>
  <c r="W1" i="3"/>
  <c r="AC1" i="17"/>
  <c r="K1" i="9"/>
  <c r="X1" i="4"/>
</calcChain>
</file>

<file path=xl/sharedStrings.xml><?xml version="1.0" encoding="utf-8"?>
<sst xmlns="http://schemas.openxmlformats.org/spreadsheetml/2006/main" count="177" uniqueCount="97">
  <si>
    <t>Quarter</t>
  </si>
  <si>
    <t>AUO</t>
  </si>
  <si>
    <t>CEC</t>
  </si>
  <si>
    <t>CSOT</t>
  </si>
  <si>
    <t>CHOT</t>
  </si>
  <si>
    <t>LGD</t>
  </si>
  <si>
    <t>SDC</t>
  </si>
  <si>
    <t>SHARP</t>
  </si>
  <si>
    <t>HKC</t>
  </si>
  <si>
    <t>BOE</t>
  </si>
  <si>
    <t>Maker</t>
  </si>
  <si>
    <t>Year</t>
  </si>
  <si>
    <t>Month</t>
  </si>
  <si>
    <t>Size</t>
  </si>
  <si>
    <t>Q4'11</t>
  </si>
  <si>
    <t>平均尺寸</t>
    <phoneticPr fontId="1" type="noConversion"/>
  </si>
  <si>
    <t>37-39</t>
  </si>
  <si>
    <t>40-43</t>
  </si>
  <si>
    <t>46-50</t>
  </si>
  <si>
    <t>55-60</t>
  </si>
  <si>
    <t>月份</t>
    <phoneticPr fontId="1" type="noConversion"/>
  </si>
  <si>
    <t>BOE</t>
    <phoneticPr fontId="28" type="noConversion"/>
  </si>
  <si>
    <t>京东方</t>
    <phoneticPr fontId="28" type="noConversion"/>
  </si>
  <si>
    <t>SDC</t>
    <phoneticPr fontId="28" type="noConversion"/>
  </si>
  <si>
    <t>三星显示</t>
    <phoneticPr fontId="28" type="noConversion"/>
  </si>
  <si>
    <t>LGD</t>
    <phoneticPr fontId="28" type="noConversion"/>
  </si>
  <si>
    <t>LG显示</t>
    <phoneticPr fontId="28" type="noConversion"/>
  </si>
  <si>
    <t>CHOT</t>
    <phoneticPr fontId="1" type="noConversion"/>
  </si>
  <si>
    <t>彩虹</t>
    <phoneticPr fontId="28" type="noConversion"/>
  </si>
  <si>
    <t>CSOT</t>
    <phoneticPr fontId="1" type="noConversion"/>
  </si>
  <si>
    <t>华星光电</t>
    <phoneticPr fontId="28" type="noConversion"/>
  </si>
  <si>
    <t>CEC</t>
    <phoneticPr fontId="1" type="noConversion"/>
  </si>
  <si>
    <t>熊猫</t>
    <phoneticPr fontId="28" type="noConversion"/>
  </si>
  <si>
    <t>HKC</t>
    <phoneticPr fontId="1" type="noConversion"/>
  </si>
  <si>
    <t>惠科</t>
    <phoneticPr fontId="28" type="noConversion"/>
  </si>
  <si>
    <t>AUO</t>
    <phoneticPr fontId="1" type="noConversion"/>
  </si>
  <si>
    <t>友达</t>
    <phoneticPr fontId="28" type="noConversion"/>
  </si>
  <si>
    <t>群创</t>
    <phoneticPr fontId="1" type="noConversion"/>
  </si>
  <si>
    <t>Contents:</t>
    <phoneticPr fontId="1" type="noConversion"/>
  </si>
  <si>
    <t>INX</t>
  </si>
  <si>
    <t>INX</t>
    <phoneticPr fontId="1" type="noConversion"/>
  </si>
  <si>
    <t>The entire contents of this report are copyrighted by RUNTO Technology and may not be reproduced, spread or distributed to any competitors or other third party without permission.</t>
    <phoneticPr fontId="1" type="noConversion"/>
  </si>
  <si>
    <t>本报告全部内容的版权为洛图科技（RUNTO）所有，未经允许，不得复制、传播、发布给任何的同业机构和其他第三方。</t>
    <phoneticPr fontId="1" type="noConversion"/>
  </si>
  <si>
    <r>
      <rPr>
        <sz val="10"/>
        <rFont val="Arial"/>
        <family val="2"/>
      </rPr>
      <t>Panel Maker  Explanation</t>
    </r>
    <r>
      <rPr>
        <sz val="10"/>
        <rFont val="黑体"/>
        <family val="3"/>
        <charset val="134"/>
      </rPr>
      <t xml:space="preserve"> 面板厂说明</t>
    </r>
    <phoneticPr fontId="1" type="noConversion"/>
  </si>
  <si>
    <t>Index</t>
  </si>
  <si>
    <t>Index</t>
    <phoneticPr fontId="1" type="noConversion"/>
  </si>
  <si>
    <t>Size</t>
    <phoneticPr fontId="1" type="noConversion"/>
  </si>
  <si>
    <r>
      <t xml:space="preserve">1 Global TV Panel Makers Shipment by Volume </t>
    </r>
    <r>
      <rPr>
        <u/>
        <sz val="11"/>
        <rFont val="黑体"/>
        <family val="3"/>
        <charset val="134"/>
      </rPr>
      <t>全球TV面板厂出货</t>
    </r>
    <phoneticPr fontId="1" type="noConversion"/>
  </si>
  <si>
    <r>
      <t xml:space="preserve">2 Global TV Panel Makers Shipment by Area </t>
    </r>
    <r>
      <rPr>
        <u/>
        <sz val="11"/>
        <rFont val="黑体"/>
        <family val="3"/>
        <charset val="134"/>
      </rPr>
      <t>全球TV面板厂面积出货</t>
    </r>
    <phoneticPr fontId="1" type="noConversion"/>
  </si>
  <si>
    <r>
      <t xml:space="preserve">3 Global TV Panel Average Size </t>
    </r>
    <r>
      <rPr>
        <u/>
        <sz val="11"/>
        <rFont val="黑体"/>
        <family val="3"/>
        <charset val="134"/>
      </rPr>
      <t>全球TV面板平均尺寸</t>
    </r>
    <phoneticPr fontId="1" type="noConversion"/>
  </si>
  <si>
    <r>
      <t xml:space="preserve">4 Global TV Panel Size Structure </t>
    </r>
    <r>
      <rPr>
        <u/>
        <sz val="11"/>
        <rFont val="黑体"/>
        <family val="3"/>
        <charset val="134"/>
      </rPr>
      <t>全球TV面板尺寸结构</t>
    </r>
    <phoneticPr fontId="1" type="noConversion"/>
  </si>
  <si>
    <t>总计</t>
  </si>
  <si>
    <t>(全部)</t>
  </si>
  <si>
    <t>Shipment(K)</t>
  </si>
  <si>
    <t>Display area(K m2 )</t>
  </si>
  <si>
    <t>求和项:Display area(K m2 )</t>
  </si>
  <si>
    <t>求和项:Shipment(K)</t>
  </si>
  <si>
    <t>2 Global TV Panel Makers Shipment by Area 全球TV面板厂面积出货</t>
    <phoneticPr fontId="1" type="noConversion"/>
  </si>
  <si>
    <t>1 Global TV Panel Makers Shipment by Volume 全球TV面板厂出货</t>
    <phoneticPr fontId="1" type="noConversion"/>
  </si>
  <si>
    <t>3 Global TV Panel Average Size 全球TV面板平均尺寸</t>
    <phoneticPr fontId="1" type="noConversion"/>
  </si>
  <si>
    <t>4 Global TV Panel Size Structure 全球TV面板尺寸结构</t>
    <phoneticPr fontId="1" type="noConversion"/>
  </si>
  <si>
    <t>≤32</t>
    <phoneticPr fontId="1" type="noConversion"/>
  </si>
  <si>
    <t>≥65</t>
    <phoneticPr fontId="1" type="noConversion"/>
  </si>
  <si>
    <t>20.02</t>
  </si>
  <si>
    <t>20.03</t>
  </si>
  <si>
    <t>20.04</t>
  </si>
  <si>
    <t>20.05</t>
  </si>
  <si>
    <t>20.06</t>
  </si>
  <si>
    <t>20.07</t>
  </si>
  <si>
    <t>20.08</t>
  </si>
  <si>
    <t>20.09</t>
  </si>
  <si>
    <t>20.10</t>
  </si>
  <si>
    <t>20.11</t>
  </si>
  <si>
    <t>20.12</t>
  </si>
  <si>
    <t>21.02</t>
  </si>
  <si>
    <t>21.03</t>
  </si>
  <si>
    <t>21.04</t>
  </si>
  <si>
    <t>21.05</t>
  </si>
  <si>
    <t>21.06</t>
  </si>
  <si>
    <t>21.08</t>
  </si>
  <si>
    <t>21.09</t>
  </si>
  <si>
    <t>21.10</t>
  </si>
  <si>
    <t>21.10</t>
    <phoneticPr fontId="1" type="noConversion"/>
  </si>
  <si>
    <t>21.11</t>
    <phoneticPr fontId="1" type="noConversion"/>
  </si>
  <si>
    <t>AUO 汇总</t>
  </si>
  <si>
    <t>BOE 汇总</t>
  </si>
  <si>
    <t>CEC 汇总</t>
  </si>
  <si>
    <t>CHOT 汇总</t>
  </si>
  <si>
    <t>CSOT 汇总</t>
  </si>
  <si>
    <t>HKC 汇总</t>
  </si>
  <si>
    <t>INX 汇总</t>
  </si>
  <si>
    <t>LGD 汇总</t>
  </si>
  <si>
    <t>SDC 汇总</t>
  </si>
  <si>
    <t>SHARP 汇总</t>
  </si>
  <si>
    <t>21.12</t>
    <phoneticPr fontId="1" type="noConversion"/>
  </si>
  <si>
    <t>22.01</t>
    <phoneticPr fontId="1" type="noConversion"/>
  </si>
  <si>
    <t>22.02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</si>
</sst>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[$-409]mmm/yy;@"/>
    <numFmt numFmtId="177" formatCode="_-* #,##0.00_-;\-* #,##0.00_-;_-* &quot;-&quot;??_-;_-@_-"/>
    <numFmt numFmtId="178" formatCode="_-* #,##0_-;\-* #,##0_-;_-* &quot;-&quot;_-;_-@_-"/>
    <numFmt numFmtId="179" formatCode="_-[$€-2]* #,##0.00_-;\-[$€-2]* #,##0.00_-;_-[$€-2]* &quot;-&quot;??_-"/>
    <numFmt numFmtId="180" formatCode="0.0"/>
    <numFmt numFmtId="181" formatCode="[$-409]mmm\-yy;@"/>
  </numFmts>
  <fonts count="44" x14ac:knownFonts="1"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  <font>
      <sz val="10"/>
      <color theme="1"/>
      <name val="黑体"/>
      <family val="3"/>
      <charset val="134"/>
    </font>
    <font>
      <sz val="10"/>
      <name val="Tahoma"/>
      <family val="2"/>
    </font>
    <font>
      <sz val="11"/>
      <color theme="1"/>
      <name val="DengXian"/>
      <family val="3"/>
      <charset val="134"/>
      <scheme val="minor"/>
    </font>
    <font>
      <b/>
      <sz val="20"/>
      <color rgb="FFFFFFFF"/>
      <name val="黑体"/>
      <family val="3"/>
      <charset val="134"/>
    </font>
    <font>
      <i/>
      <sz val="11"/>
      <name val="Tahoma"/>
      <family val="2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DengXian"/>
      <family val="2"/>
      <charset val="129"/>
      <scheme val="minor"/>
    </font>
    <font>
      <sz val="10"/>
      <color theme="1"/>
      <name val="Malgun Gothic"/>
      <family val="2"/>
      <charset val="136"/>
    </font>
    <font>
      <sz val="10"/>
      <color theme="1"/>
      <name val="Arial"/>
      <family val="2"/>
      <charset val="136"/>
    </font>
    <font>
      <sz val="9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Tahoma"/>
      <family val="2"/>
    </font>
    <font>
      <sz val="12"/>
      <color theme="1"/>
      <name val="DengXian"/>
      <family val="2"/>
      <scheme val="minor"/>
    </font>
    <font>
      <b/>
      <sz val="10"/>
      <name val="Arial"/>
      <family val="2"/>
    </font>
    <font>
      <b/>
      <u/>
      <sz val="8"/>
      <color indexed="9"/>
      <name val="Arial"/>
      <family val="2"/>
    </font>
    <font>
      <sz val="10"/>
      <name val="黑体"/>
      <family val="3"/>
      <charset val="134"/>
    </font>
    <font>
      <sz val="12"/>
      <name val="黑体"/>
      <family val="3"/>
      <charset val="134"/>
    </font>
    <font>
      <sz val="11"/>
      <name val="Arial"/>
      <family val="2"/>
    </font>
    <font>
      <sz val="10"/>
      <name val="DengXian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DengXian"/>
      <family val="2"/>
      <scheme val="minor"/>
    </font>
    <font>
      <b/>
      <sz val="10"/>
      <color theme="0"/>
      <name val="黑体"/>
      <family val="3"/>
      <charset val="134"/>
    </font>
    <font>
      <b/>
      <sz val="14"/>
      <color theme="0"/>
      <name val="黑体"/>
      <family val="3"/>
      <charset val="134"/>
    </font>
    <font>
      <b/>
      <sz val="10"/>
      <color theme="0"/>
      <name val="Arial"/>
      <family val="2"/>
    </font>
    <font>
      <u/>
      <sz val="11"/>
      <color theme="10"/>
      <name val="DengXian"/>
      <family val="2"/>
      <scheme val="minor"/>
    </font>
    <font>
      <sz val="9"/>
      <name val="宋体"/>
      <family val="3"/>
      <charset val="134"/>
    </font>
    <font>
      <i/>
      <sz val="10"/>
      <name val="Arial"/>
      <family val="2"/>
    </font>
    <font>
      <b/>
      <u/>
      <sz val="10"/>
      <color rgb="FF0070C0"/>
      <name val="Arial"/>
      <family val="2"/>
    </font>
    <font>
      <u/>
      <sz val="10"/>
      <name val="Tahoma"/>
      <family val="2"/>
    </font>
    <font>
      <u/>
      <sz val="10"/>
      <color theme="1"/>
      <name val="Tahoma"/>
      <family val="2"/>
    </font>
    <font>
      <b/>
      <sz val="11"/>
      <color theme="0"/>
      <name val="黑体"/>
      <family val="3"/>
      <charset val="134"/>
    </font>
    <font>
      <u/>
      <sz val="11"/>
      <name val="黑体"/>
      <family val="3"/>
      <charset val="134"/>
    </font>
    <font>
      <sz val="10"/>
      <name val="黑体"/>
      <family val="2"/>
      <charset val="134"/>
    </font>
    <font>
      <u/>
      <sz val="11"/>
      <name val="Arial"/>
      <family val="2"/>
    </font>
    <font>
      <sz val="10"/>
      <color rgb="FF000000"/>
      <name val="黑体"/>
      <family val="3"/>
      <charset val="134"/>
    </font>
    <font>
      <sz val="11"/>
      <color theme="1"/>
      <name val="黑体"/>
      <family val="3"/>
      <charset val="134"/>
    </font>
    <font>
      <b/>
      <sz val="10"/>
      <name val="黑体"/>
      <family val="3"/>
      <charset val="134"/>
    </font>
    <font>
      <u/>
      <sz val="10"/>
      <color theme="0"/>
      <name val="黑体"/>
      <family val="3"/>
      <charset val="134"/>
    </font>
    <font>
      <sz val="12"/>
      <color theme="1"/>
      <name val="黑体"/>
      <family val="3"/>
      <charset val="134"/>
    </font>
    <font>
      <sz val="11"/>
      <color rgb="FF000000"/>
      <name val="黑体"/>
      <family val="3"/>
      <charset val="134"/>
    </font>
    <font>
      <u/>
      <sz val="11"/>
      <color theme="0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5558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3" fillId="0" borderId="0">
      <alignment vertical="center"/>
    </xf>
    <xf numFmtId="0" fontId="4" fillId="0" borderId="0"/>
    <xf numFmtId="0" fontId="6" fillId="0" borderId="0">
      <alignment horizontal="right" vertical="center" wrapText="1"/>
    </xf>
    <xf numFmtId="0" fontId="7" fillId="0" borderId="0"/>
    <xf numFmtId="0" fontId="8" fillId="2" borderId="0">
      <alignment vertical="center"/>
    </xf>
    <xf numFmtId="9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76" fontId="4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Protection="0">
      <alignment vertical="center"/>
      <protection locked="0"/>
    </xf>
    <xf numFmtId="177" fontId="10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0" fontId="15" fillId="0" borderId="0"/>
    <xf numFmtId="0" fontId="11" fillId="0" borderId="0">
      <alignment vertical="center"/>
    </xf>
    <xf numFmtId="0" fontId="15" fillId="0" borderId="0"/>
    <xf numFmtId="0" fontId="10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179" fontId="22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1">
      <alignment vertical="center"/>
    </xf>
    <xf numFmtId="17" fontId="5" fillId="0" borderId="0" xfId="2" applyNumberFormat="1" applyFont="1" applyAlignment="1">
      <alignment horizontal="center" vertical="center" readingOrder="1"/>
    </xf>
    <xf numFmtId="0" fontId="3" fillId="0" borderId="0" xfId="1" applyFill="1">
      <alignment vertical="center"/>
    </xf>
    <xf numFmtId="0" fontId="16" fillId="3" borderId="0" xfId="1" applyFont="1" applyFill="1" applyBorder="1" applyAlignment="1">
      <alignment horizontal="left" vertical="center"/>
    </xf>
    <xf numFmtId="0" fontId="17" fillId="0" borderId="0" xfId="1" applyFont="1" applyFill="1" applyBorder="1" applyAlignment="1" applyProtection="1">
      <alignment horizontal="center" vertical="center"/>
    </xf>
    <xf numFmtId="0" fontId="16" fillId="0" borderId="0" xfId="1" applyFont="1" applyFill="1" applyBorder="1" applyAlignment="1">
      <alignment horizontal="left" vertical="center"/>
    </xf>
    <xf numFmtId="0" fontId="18" fillId="0" borderId="0" xfId="1" applyFont="1">
      <alignment vertical="center"/>
    </xf>
    <xf numFmtId="0" fontId="7" fillId="0" borderId="0" xfId="1" applyFont="1" applyFill="1" applyAlignment="1">
      <alignment vertical="center"/>
    </xf>
    <xf numFmtId="0" fontId="7" fillId="0" borderId="0" xfId="1" applyFont="1">
      <alignment vertical="center"/>
    </xf>
    <xf numFmtId="0" fontId="18" fillId="0" borderId="0" xfId="1" applyFont="1" applyFill="1" applyAlignment="1">
      <alignment vertical="center"/>
    </xf>
    <xf numFmtId="0" fontId="19" fillId="0" borderId="0" xfId="1" applyFont="1" applyFill="1" applyAlignment="1">
      <alignment vertical="center"/>
    </xf>
    <xf numFmtId="0" fontId="20" fillId="0" borderId="0" xfId="1" applyFont="1" applyFill="1" applyAlignment="1">
      <alignment vertical="center"/>
    </xf>
    <xf numFmtId="0" fontId="13" fillId="0" borderId="0" xfId="12" applyFont="1" applyAlignment="1" applyProtection="1">
      <alignment horizontal="right" vertical="center"/>
    </xf>
    <xf numFmtId="0" fontId="21" fillId="0" borderId="0" xfId="1" applyFont="1">
      <alignment vertical="center"/>
    </xf>
    <xf numFmtId="0" fontId="25" fillId="3" borderId="0" xfId="0" applyFont="1" applyFill="1" applyBorder="1" applyAlignment="1">
      <alignment horizontal="left" vertical="center"/>
    </xf>
    <xf numFmtId="0" fontId="29" fillId="0" borderId="0" xfId="3" applyFont="1">
      <alignment horizontal="right" vertical="center" wrapText="1"/>
    </xf>
    <xf numFmtId="0" fontId="30" fillId="0" borderId="0" xfId="12" applyFont="1" applyProtection="1">
      <alignment vertical="center"/>
      <protection locked="0"/>
    </xf>
    <xf numFmtId="49" fontId="31" fillId="0" borderId="0" xfId="12" applyNumberFormat="1" applyFont="1" applyProtection="1">
      <alignment vertical="center"/>
    </xf>
    <xf numFmtId="0" fontId="18" fillId="0" borderId="0" xfId="9" applyFont="1" applyAlignment="1" applyProtection="1">
      <alignment horizontal="left" vertical="center"/>
      <protection hidden="1"/>
    </xf>
    <xf numFmtId="49" fontId="32" fillId="0" borderId="0" xfId="12" applyNumberFormat="1" applyFont="1" applyProtection="1">
      <alignment vertical="center"/>
    </xf>
    <xf numFmtId="0" fontId="29" fillId="0" borderId="0" xfId="1" applyFont="1">
      <alignment vertical="center"/>
    </xf>
    <xf numFmtId="0" fontId="16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0" fontId="7" fillId="0" borderId="0" xfId="1" applyFont="1" applyBorder="1" applyAlignment="1">
      <alignment vertical="center"/>
    </xf>
    <xf numFmtId="0" fontId="16" fillId="0" borderId="0" xfId="1" applyFont="1" applyBorder="1" applyAlignment="1">
      <alignment vertical="center"/>
    </xf>
    <xf numFmtId="0" fontId="33" fillId="3" borderId="0" xfId="12" applyFont="1" applyFill="1" applyBorder="1" applyAlignment="1" applyProtection="1">
      <alignment horizontal="center" vertical="center"/>
    </xf>
    <xf numFmtId="0" fontId="35" fillId="0" borderId="0" xfId="1" applyFont="1" applyFill="1" applyAlignment="1">
      <alignment vertical="center"/>
    </xf>
    <xf numFmtId="0" fontId="24" fillId="3" borderId="2" xfId="19" applyFont="1" applyFill="1" applyBorder="1" applyAlignment="1">
      <alignment horizontal="center" vertical="center" wrapText="1"/>
    </xf>
    <xf numFmtId="0" fontId="2" fillId="0" borderId="1" xfId="19" applyFont="1" applyBorder="1" applyAlignment="1">
      <alignment horizontal="center" vertical="center" wrapText="1"/>
    </xf>
    <xf numFmtId="0" fontId="36" fillId="0" borderId="0" xfId="25" applyFont="1"/>
    <xf numFmtId="181" fontId="26" fillId="3" borderId="0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0" xfId="0" pivotButton="1" applyFont="1"/>
    <xf numFmtId="0" fontId="38" fillId="0" borderId="0" xfId="0" applyFont="1"/>
    <xf numFmtId="0" fontId="38" fillId="0" borderId="0" xfId="0" applyNumberFormat="1" applyFont="1"/>
    <xf numFmtId="0" fontId="39" fillId="3" borderId="0" xfId="0" applyFont="1" applyFill="1" applyBorder="1" applyAlignment="1">
      <alignment horizontal="left" vertical="center"/>
    </xf>
    <xf numFmtId="0" fontId="40" fillId="3" borderId="0" xfId="25" applyFont="1" applyFill="1" applyBorder="1" applyAlignment="1">
      <alignment horizontal="center" vertical="center"/>
    </xf>
    <xf numFmtId="0" fontId="40" fillId="3" borderId="0" xfId="12" applyFont="1" applyFill="1" applyBorder="1" applyAlignment="1" applyProtection="1">
      <alignment horizontal="center" vertical="center"/>
    </xf>
    <xf numFmtId="181" fontId="40" fillId="3" borderId="0" xfId="12" applyNumberFormat="1" applyFont="1" applyFill="1" applyBorder="1" applyAlignment="1" applyProtection="1">
      <alignment horizontal="center" vertical="center"/>
    </xf>
    <xf numFmtId="0" fontId="38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1" fontId="38" fillId="0" borderId="0" xfId="0" applyNumberFormat="1" applyFont="1"/>
    <xf numFmtId="0" fontId="42" fillId="0" borderId="0" xfId="0" applyFont="1" applyAlignment="1">
      <alignment vertical="center"/>
    </xf>
    <xf numFmtId="0" fontId="39" fillId="3" borderId="0" xfId="0" applyFont="1" applyFill="1" applyBorder="1" applyAlignment="1">
      <alignment horizontal="center" vertical="center"/>
    </xf>
    <xf numFmtId="0" fontId="43" fillId="3" borderId="0" xfId="25" applyFont="1" applyFill="1" applyBorder="1" applyAlignment="1">
      <alignment horizontal="center" vertical="center"/>
    </xf>
    <xf numFmtId="0" fontId="38" fillId="0" borderId="4" xfId="0" applyFont="1" applyBorder="1"/>
    <xf numFmtId="0" fontId="24" fillId="3" borderId="3" xfId="19" applyFont="1" applyFill="1" applyBorder="1" applyAlignment="1">
      <alignment horizontal="center" vertical="center" wrapText="1"/>
    </xf>
    <xf numFmtId="180" fontId="2" fillId="0" borderId="1" xfId="19" applyNumberFormat="1" applyFont="1" applyBorder="1" applyAlignment="1">
      <alignment horizontal="center" vertical="center" wrapText="1"/>
    </xf>
    <xf numFmtId="0" fontId="24" fillId="3" borderId="5" xfId="19" applyFont="1" applyFill="1" applyBorder="1" applyAlignment="1">
      <alignment horizontal="center" vertical="center" wrapText="1"/>
    </xf>
    <xf numFmtId="9" fontId="2" fillId="0" borderId="1" xfId="24" applyFont="1" applyBorder="1" applyAlignment="1">
      <alignment horizontal="center" vertical="center" wrapText="1"/>
    </xf>
    <xf numFmtId="49" fontId="38" fillId="0" borderId="0" xfId="0" applyNumberFormat="1" applyFont="1" applyAlignment="1">
      <alignment horizontal="left"/>
    </xf>
    <xf numFmtId="0" fontId="38" fillId="0" borderId="0" xfId="0" applyFont="1" applyAlignment="1">
      <alignment horizontal="left"/>
    </xf>
    <xf numFmtId="2" fontId="24" fillId="3" borderId="6" xfId="19" applyNumberFormat="1" applyFont="1" applyFill="1" applyBorder="1" applyAlignment="1">
      <alignment horizontal="center" vertical="center" wrapText="1"/>
    </xf>
    <xf numFmtId="49" fontId="24" fillId="3" borderId="3" xfId="19" applyNumberFormat="1" applyFont="1" applyFill="1" applyBorder="1" applyAlignment="1">
      <alignment horizontal="center" vertical="center" wrapText="1"/>
    </xf>
    <xf numFmtId="49" fontId="24" fillId="3" borderId="6" xfId="19" applyNumberFormat="1" applyFont="1" applyFill="1" applyBorder="1" applyAlignment="1">
      <alignment horizontal="center" vertical="center" wrapText="1"/>
    </xf>
    <xf numFmtId="9" fontId="2" fillId="0" borderId="1" xfId="24" applyNumberFormat="1" applyFont="1" applyBorder="1" applyAlignment="1">
      <alignment horizontal="center" vertical="center" wrapText="1"/>
    </xf>
  </cellXfs>
  <cellStyles count="26">
    <cellStyle name="Heading_R" xfId="3"/>
    <cellStyle name="Normal 2" xfId="4"/>
    <cellStyle name="Normal_Storage Tracker Worksheet Q2-03_DB SPECIFICATIONS 2009" xfId="5"/>
    <cellStyle name="百分比" xfId="24" builtinId="5"/>
    <cellStyle name="百分比 2" xfId="6"/>
    <cellStyle name="百分比 3" xfId="7"/>
    <cellStyle name="百分比 3 2" xfId="8"/>
    <cellStyle name="標準_DS_2008Q4_QOLED_HistoryPivotTable_Revised" xfId="9"/>
    <cellStyle name="常规" xfId="0" builtinId="0"/>
    <cellStyle name="常规 2" xfId="22"/>
    <cellStyle name="常规 2 2" xfId="10"/>
    <cellStyle name="常规 2 3" xfId="1"/>
    <cellStyle name="常规 2 5" xfId="23"/>
    <cellStyle name="常规 4" xfId="2"/>
    <cellStyle name="超連結 2" xfId="11"/>
    <cellStyle name="超链接" xfId="25" builtinId="8"/>
    <cellStyle name="超链接 2" xfId="12"/>
    <cellStyle name="千分位 2" xfId="13"/>
    <cellStyle name="千分位 2 2" xfId="14"/>
    <cellStyle name="千分位 4" xfId="15"/>
    <cellStyle name="千分位[0] 2" xfId="16"/>
    <cellStyle name="一般 2" xfId="17"/>
    <cellStyle name="一般 2 2" xfId="18"/>
    <cellStyle name="一般 2 2 2" xfId="19"/>
    <cellStyle name="一般 3" xfId="20"/>
    <cellStyle name="一般 4" xfId="21"/>
  </cellStyles>
  <dxfs count="56">
    <dxf>
      <alignment horizontal="left"/>
    </dxf>
    <dxf>
      <numFmt numFmtId="30" formatCode="@"/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numFmt numFmtId="1" formatCode="0"/>
    </dxf>
    <dxf>
      <numFmt numFmtId="1" formatCode="0"/>
    </dxf>
    <dxf>
      <numFmt numFmtId="1" formatCode="0"/>
    </dxf>
    <dxf>
      <alignment horizontal="lef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sz val="10"/>
      </font>
    </dxf>
    <dxf>
      <font>
        <sz val="10"/>
      </font>
    </dxf>
    <dxf>
      <font>
        <name val="黑体"/>
        <scheme val="none"/>
      </font>
    </dxf>
    <dxf>
      <font>
        <name val="黑体"/>
        <scheme val="none"/>
      </font>
    </dxf>
    <dxf>
      <font>
        <color theme="0"/>
      </font>
      <fill>
        <patternFill>
          <bgColor rgb="FF055586"/>
        </patternFill>
      </fill>
    </dxf>
    <dxf>
      <font>
        <color theme="0"/>
      </font>
      <fill>
        <patternFill>
          <bgColor rgb="FF055586"/>
        </patternFill>
      </fill>
    </dxf>
    <dxf>
      <font>
        <color theme="0"/>
      </font>
      <fill>
        <patternFill>
          <bgColor rgb="FF055586"/>
        </patternFill>
      </fill>
    </dxf>
    <dxf>
      <fill>
        <patternFill>
          <bgColor theme="3" tint="0.79998168889431442"/>
        </patternFill>
      </fill>
    </dxf>
    <dxf>
      <font>
        <color theme="0"/>
      </font>
      <fill>
        <patternFill>
          <bgColor rgb="FFCA4128"/>
        </patternFill>
      </fill>
    </dxf>
    <dxf>
      <font>
        <color theme="0"/>
      </font>
      <fill>
        <patternFill>
          <bgColor rgb="FF05558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数据透视表样式 1">
    <tableStyle name="数据透视表样式 1" table="0" count="7">
      <tableStyleElement type="wholeTable" dxfId="55"/>
      <tableStyleElement type="headerRow" dxfId="54"/>
      <tableStyleElement type="totalRow" dxfId="53"/>
      <tableStyleElement type="firstColumn" dxfId="52"/>
      <tableStyleElement type="firstSubtotalRow" dxfId="51"/>
      <tableStyleElement type="pageFieldLabels" dxfId="50"/>
      <tableStyleElement type="pageFieldValues" dxfId="49"/>
    </tableStyle>
  </tableStyles>
  <colors>
    <mruColors>
      <color rgb="FFCA4128"/>
      <color rgb="FF055586"/>
      <color rgb="FFE48379"/>
      <color rgb="FF28A9F7"/>
      <color rgb="FF8C8C8C"/>
      <color rgb="FFCA3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externalLink" Target="externalLinks/externalLink4.xml"/><Relationship Id="rId12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externalLink" Target="externalLinks/externalLink1.xml"/><Relationship Id="rId9" Type="http://schemas.openxmlformats.org/officeDocument/2006/relationships/externalLink" Target="externalLinks/externalLink2.xml"/><Relationship Id="rId10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sz="1200">
                <a:latin typeface="黑体" panose="02010609060101010101" pitchFamily="49" charset="-122"/>
                <a:ea typeface="黑体" panose="02010609060101010101" pitchFamily="49" charset="-122"/>
              </a:rPr>
              <a:t>全球</a:t>
            </a:r>
            <a:r>
              <a:rPr lang="en-US" sz="1200">
                <a:latin typeface="黑体" panose="02010609060101010101" pitchFamily="49" charset="-122"/>
                <a:ea typeface="黑体" panose="02010609060101010101" pitchFamily="49" charset="-122"/>
              </a:rPr>
              <a:t>TV</a:t>
            </a:r>
            <a:r>
              <a:rPr lang="zh-CN" sz="1200">
                <a:latin typeface="黑体" panose="02010609060101010101" pitchFamily="49" charset="-122"/>
                <a:ea typeface="黑体" panose="02010609060101010101" pitchFamily="49" charset="-122"/>
              </a:rPr>
              <a:t>面板平均尺寸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TV Panel Average Size'!$B$4</c:f>
              <c:strCache>
                <c:ptCount val="1"/>
                <c:pt idx="0">
                  <c:v>平均尺寸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'3. TV Panel Average Size'!$C$3:$X$3</c:f>
              <c:strCache>
                <c:ptCount val="22"/>
                <c:pt idx="0">
                  <c:v>20.05</c:v>
                </c:pt>
                <c:pt idx="1">
                  <c:v>20.06</c:v>
                </c:pt>
                <c:pt idx="2">
                  <c:v>20.07</c:v>
                </c:pt>
                <c:pt idx="3">
                  <c:v>20.08</c:v>
                </c:pt>
                <c:pt idx="4">
                  <c:v>20.09</c:v>
                </c:pt>
                <c:pt idx="5">
                  <c:v>20.10</c:v>
                </c:pt>
                <c:pt idx="6">
                  <c:v>20.11</c:v>
                </c:pt>
                <c:pt idx="7">
                  <c:v>20.12</c:v>
                </c:pt>
                <c:pt idx="8">
                  <c:v>21.01</c:v>
                </c:pt>
                <c:pt idx="9">
                  <c:v>21.02</c:v>
                </c:pt>
                <c:pt idx="10">
                  <c:v>21.03</c:v>
                </c:pt>
                <c:pt idx="11">
                  <c:v>21.04</c:v>
                </c:pt>
                <c:pt idx="12">
                  <c:v>21.05</c:v>
                </c:pt>
                <c:pt idx="13">
                  <c:v>21.06</c:v>
                </c:pt>
                <c:pt idx="14">
                  <c:v>21.07</c:v>
                </c:pt>
                <c:pt idx="15">
                  <c:v>21.08</c:v>
                </c:pt>
                <c:pt idx="16">
                  <c:v>21.09</c:v>
                </c:pt>
                <c:pt idx="17">
                  <c:v>21.10</c:v>
                </c:pt>
                <c:pt idx="18">
                  <c:v>21.11</c:v>
                </c:pt>
                <c:pt idx="19">
                  <c:v>21.12</c:v>
                </c:pt>
                <c:pt idx="20">
                  <c:v>22.01</c:v>
                </c:pt>
                <c:pt idx="21">
                  <c:v>22.02</c:v>
                </c:pt>
              </c:strCache>
            </c:strRef>
          </c:cat>
          <c:val>
            <c:numRef>
              <c:f>'3. TV Panel Average Size'!$C$4:$X$4</c:f>
              <c:numCache>
                <c:formatCode>0.0</c:formatCode>
                <c:ptCount val="22"/>
                <c:pt idx="0">
                  <c:v>44.7</c:v>
                </c:pt>
                <c:pt idx="1">
                  <c:v>45.4</c:v>
                </c:pt>
                <c:pt idx="2">
                  <c:v>46.06802591049496</c:v>
                </c:pt>
                <c:pt idx="3">
                  <c:v>44.83958244124702</c:v>
                </c:pt>
                <c:pt idx="4">
                  <c:v>46.08573831854313</c:v>
                </c:pt>
                <c:pt idx="5">
                  <c:v>45.59780984282402</c:v>
                </c:pt>
                <c:pt idx="6">
                  <c:v>45.77760449157829</c:v>
                </c:pt>
                <c:pt idx="7">
                  <c:v>45.62155320192295</c:v>
                </c:pt>
                <c:pt idx="8">
                  <c:v>45.93940821366505</c:v>
                </c:pt>
                <c:pt idx="9">
                  <c:v>46.2410221728419</c:v>
                </c:pt>
                <c:pt idx="10">
                  <c:v>46.28650778272944</c:v>
                </c:pt>
                <c:pt idx="11">
                  <c:v>47.49462569250438</c:v>
                </c:pt>
                <c:pt idx="12">
                  <c:v>47.59231856738925</c:v>
                </c:pt>
                <c:pt idx="13">
                  <c:v>47.8689598292257</c:v>
                </c:pt>
                <c:pt idx="14">
                  <c:v>47.8793059049581</c:v>
                </c:pt>
                <c:pt idx="15">
                  <c:v>48.56697052882374</c:v>
                </c:pt>
                <c:pt idx="16">
                  <c:v>48.09436560545234</c:v>
                </c:pt>
                <c:pt idx="17">
                  <c:v>47.76</c:v>
                </c:pt>
                <c:pt idx="18">
                  <c:v>47.27090692124105</c:v>
                </c:pt>
                <c:pt idx="19">
                  <c:v>46.80621411981244</c:v>
                </c:pt>
                <c:pt idx="20">
                  <c:v>46.82594390255285</c:v>
                </c:pt>
                <c:pt idx="21">
                  <c:v>46.56193138741471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978-4BB9-89AC-06F6A88EA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67678528"/>
        <c:axId val="-1167676208"/>
      </c:lineChart>
      <c:catAx>
        <c:axId val="-116767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167676208"/>
        <c:crosses val="autoZero"/>
        <c:auto val="1"/>
        <c:lblAlgn val="ctr"/>
        <c:lblOffset val="100"/>
        <c:noMultiLvlLbl val="0"/>
      </c:catAx>
      <c:valAx>
        <c:axId val="-1167676208"/>
        <c:scaling>
          <c:orientation val="minMax"/>
        </c:scaling>
        <c:delete val="0"/>
        <c:axPos val="l"/>
        <c:majorGridlines>
          <c:spPr>
            <a:ln w="6350">
              <a:solidFill>
                <a:schemeClr val="bg1">
                  <a:lumMod val="85000"/>
                </a:schemeClr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-11676785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ea typeface="黑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sz="1200">
                <a:latin typeface="黑体" panose="02010609060101010101" pitchFamily="49" charset="-122"/>
                <a:ea typeface="黑体" panose="02010609060101010101" pitchFamily="49" charset="-122"/>
              </a:rPr>
              <a:t>全球</a:t>
            </a:r>
            <a:r>
              <a:rPr lang="en-US" sz="1200">
                <a:latin typeface="黑体" panose="02010609060101010101" pitchFamily="49" charset="-122"/>
                <a:ea typeface="黑体" panose="02010609060101010101" pitchFamily="49" charset="-122"/>
              </a:rPr>
              <a:t>TV</a:t>
            </a:r>
            <a:r>
              <a:rPr lang="zh-CN" sz="1200">
                <a:latin typeface="黑体" panose="02010609060101010101" pitchFamily="49" charset="-122"/>
                <a:ea typeface="黑体" panose="02010609060101010101" pitchFamily="49" charset="-122"/>
              </a:rPr>
              <a:t>面板尺寸结构</a:t>
            </a:r>
          </a:p>
        </c:rich>
      </c:tx>
      <c:layout/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'4. TV Panel Size Structure'!$B$4</c:f>
              <c:strCache>
                <c:ptCount val="1"/>
                <c:pt idx="0">
                  <c:v>≤32</c:v>
                </c:pt>
              </c:strCache>
            </c:strRef>
          </c:tx>
          <c:spPr>
            <a:solidFill>
              <a:srgbClr val="05558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'4. TV Panel Size Structure'!$C$3:$W$3</c:f>
              <c:strCache>
                <c:ptCount val="21"/>
                <c:pt idx="0">
                  <c:v>20.06</c:v>
                </c:pt>
                <c:pt idx="1">
                  <c:v>20.07</c:v>
                </c:pt>
                <c:pt idx="2">
                  <c:v>20.08</c:v>
                </c:pt>
                <c:pt idx="3">
                  <c:v>20.09</c:v>
                </c:pt>
                <c:pt idx="4">
                  <c:v>20.10</c:v>
                </c:pt>
                <c:pt idx="5">
                  <c:v>20.11</c:v>
                </c:pt>
                <c:pt idx="6">
                  <c:v>20.12</c:v>
                </c:pt>
                <c:pt idx="7">
                  <c:v>21.01</c:v>
                </c:pt>
                <c:pt idx="8">
                  <c:v>21.02</c:v>
                </c:pt>
                <c:pt idx="9">
                  <c:v>21.03</c:v>
                </c:pt>
                <c:pt idx="10">
                  <c:v>21.04</c:v>
                </c:pt>
                <c:pt idx="11">
                  <c:v>21.05</c:v>
                </c:pt>
                <c:pt idx="12">
                  <c:v>21.06</c:v>
                </c:pt>
                <c:pt idx="13">
                  <c:v>21.07</c:v>
                </c:pt>
                <c:pt idx="14">
                  <c:v>21.08</c:v>
                </c:pt>
                <c:pt idx="15">
                  <c:v>21.09</c:v>
                </c:pt>
                <c:pt idx="16">
                  <c:v>21.10</c:v>
                </c:pt>
                <c:pt idx="17">
                  <c:v>21.11</c:v>
                </c:pt>
                <c:pt idx="18">
                  <c:v>21.12</c:v>
                </c:pt>
                <c:pt idx="19">
                  <c:v>22.01</c:v>
                </c:pt>
                <c:pt idx="20">
                  <c:v>22.02</c:v>
                </c:pt>
              </c:strCache>
            </c:strRef>
          </c:cat>
          <c:val>
            <c:numRef>
              <c:f>'4. TV Panel Size Structure'!$C$4:$W$4</c:f>
              <c:numCache>
                <c:formatCode>0%</c:formatCode>
                <c:ptCount val="21"/>
                <c:pt idx="0">
                  <c:v>0.210763241880028</c:v>
                </c:pt>
                <c:pt idx="1">
                  <c:v>0.300203756239763</c:v>
                </c:pt>
                <c:pt idx="2">
                  <c:v>0.306683683862626</c:v>
                </c:pt>
                <c:pt idx="3">
                  <c:v>0.301636034823569</c:v>
                </c:pt>
                <c:pt idx="4">
                  <c:v>0.307738555355149</c:v>
                </c:pt>
                <c:pt idx="5">
                  <c:v>0.290838606184832</c:v>
                </c:pt>
                <c:pt idx="6">
                  <c:v>0.300870709857006</c:v>
                </c:pt>
                <c:pt idx="7">
                  <c:v>0.278873368027025</c:v>
                </c:pt>
                <c:pt idx="8">
                  <c:v>0.293705618086083</c:v>
                </c:pt>
                <c:pt idx="9">
                  <c:v>0.292665073521497</c:v>
                </c:pt>
                <c:pt idx="10">
                  <c:v>0.256262133623751</c:v>
                </c:pt>
                <c:pt idx="11">
                  <c:v>0.262205466540999</c:v>
                </c:pt>
                <c:pt idx="12">
                  <c:v>0.262468464971861</c:v>
                </c:pt>
                <c:pt idx="13">
                  <c:v>0.268753837925638</c:v>
                </c:pt>
                <c:pt idx="14">
                  <c:v>0.242036567048221</c:v>
                </c:pt>
                <c:pt idx="15">
                  <c:v>0.257959107459621</c:v>
                </c:pt>
                <c:pt idx="16">
                  <c:v>0.261391110284545</c:v>
                </c:pt>
                <c:pt idx="17">
                  <c:v>0.282147971360382</c:v>
                </c:pt>
                <c:pt idx="18">
                  <c:v>0.295192602655682</c:v>
                </c:pt>
                <c:pt idx="19">
                  <c:v>0.299061931208289</c:v>
                </c:pt>
                <c:pt idx="20">
                  <c:v>0.308709249431387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DC8-49F5-9228-7D0E8FF9C09D}"/>
            </c:ext>
          </c:extLst>
        </c:ser>
        <c:ser>
          <c:idx val="1"/>
          <c:order val="1"/>
          <c:tx>
            <c:strRef>
              <c:f>'4. TV Panel Size Structure'!$B$5</c:f>
              <c:strCache>
                <c:ptCount val="1"/>
                <c:pt idx="0">
                  <c:v>37-39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cat>
            <c:strRef>
              <c:f>'4. TV Panel Size Structure'!$C$3:$W$3</c:f>
              <c:strCache>
                <c:ptCount val="21"/>
                <c:pt idx="0">
                  <c:v>20.06</c:v>
                </c:pt>
                <c:pt idx="1">
                  <c:v>20.07</c:v>
                </c:pt>
                <c:pt idx="2">
                  <c:v>20.08</c:v>
                </c:pt>
                <c:pt idx="3">
                  <c:v>20.09</c:v>
                </c:pt>
                <c:pt idx="4">
                  <c:v>20.10</c:v>
                </c:pt>
                <c:pt idx="5">
                  <c:v>20.11</c:v>
                </c:pt>
                <c:pt idx="6">
                  <c:v>20.12</c:v>
                </c:pt>
                <c:pt idx="7">
                  <c:v>21.01</c:v>
                </c:pt>
                <c:pt idx="8">
                  <c:v>21.02</c:v>
                </c:pt>
                <c:pt idx="9">
                  <c:v>21.03</c:v>
                </c:pt>
                <c:pt idx="10">
                  <c:v>21.04</c:v>
                </c:pt>
                <c:pt idx="11">
                  <c:v>21.05</c:v>
                </c:pt>
                <c:pt idx="12">
                  <c:v>21.06</c:v>
                </c:pt>
                <c:pt idx="13">
                  <c:v>21.07</c:v>
                </c:pt>
                <c:pt idx="14">
                  <c:v>21.08</c:v>
                </c:pt>
                <c:pt idx="15">
                  <c:v>21.09</c:v>
                </c:pt>
                <c:pt idx="16">
                  <c:v>21.10</c:v>
                </c:pt>
                <c:pt idx="17">
                  <c:v>21.11</c:v>
                </c:pt>
                <c:pt idx="18">
                  <c:v>21.12</c:v>
                </c:pt>
                <c:pt idx="19">
                  <c:v>22.01</c:v>
                </c:pt>
                <c:pt idx="20">
                  <c:v>22.02</c:v>
                </c:pt>
              </c:strCache>
            </c:strRef>
          </c:cat>
          <c:val>
            <c:numRef>
              <c:f>'4. TV Panel Size Structure'!$C$5:$W$5</c:f>
              <c:numCache>
                <c:formatCode>0%</c:formatCode>
                <c:ptCount val="21"/>
                <c:pt idx="0">
                  <c:v>0.0128603561291704</c:v>
                </c:pt>
                <c:pt idx="1">
                  <c:v>0.0149884653983673</c:v>
                </c:pt>
                <c:pt idx="2">
                  <c:v>0.014550534004598</c:v>
                </c:pt>
                <c:pt idx="3">
                  <c:v>0.0168229801909408</c:v>
                </c:pt>
                <c:pt idx="4">
                  <c:v>0.0158893755904835</c:v>
                </c:pt>
                <c:pt idx="5">
                  <c:v>0.0167097406648249</c:v>
                </c:pt>
                <c:pt idx="6">
                  <c:v>0.0167686058161909</c:v>
                </c:pt>
                <c:pt idx="7">
                  <c:v>0.0182598374874464</c:v>
                </c:pt>
                <c:pt idx="8">
                  <c:v>0.0173904642287812</c:v>
                </c:pt>
                <c:pt idx="9">
                  <c:v>0.0155008719240457</c:v>
                </c:pt>
                <c:pt idx="10">
                  <c:v>0.014489322411099</c:v>
                </c:pt>
                <c:pt idx="11">
                  <c:v>0.0136663524976437</c:v>
                </c:pt>
                <c:pt idx="12">
                  <c:v>0.00873277702309334</c:v>
                </c:pt>
                <c:pt idx="13">
                  <c:v>0.0158469187647327</c:v>
                </c:pt>
                <c:pt idx="14">
                  <c:v>0.0108768840316983</c:v>
                </c:pt>
                <c:pt idx="15">
                  <c:v>0.0201195033143497</c:v>
                </c:pt>
                <c:pt idx="16">
                  <c:v>0.0176678445229682</c:v>
                </c:pt>
                <c:pt idx="17">
                  <c:v>0.0162291169451074</c:v>
                </c:pt>
                <c:pt idx="18">
                  <c:v>0.0179674832376528</c:v>
                </c:pt>
                <c:pt idx="19">
                  <c:v>0.0149344285247585</c:v>
                </c:pt>
                <c:pt idx="20">
                  <c:v>0.0133150113722517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DC8-49F5-9228-7D0E8FF9C09D}"/>
            </c:ext>
          </c:extLst>
        </c:ser>
        <c:ser>
          <c:idx val="2"/>
          <c:order val="2"/>
          <c:tx>
            <c:strRef>
              <c:f>'4. TV Panel Size Structure'!$B$6</c:f>
              <c:strCache>
                <c:ptCount val="1"/>
                <c:pt idx="0">
                  <c:v>40-43</c:v>
                </c:pt>
              </c:strCache>
            </c:strRef>
          </c:tx>
          <c:spPr>
            <a:solidFill>
              <a:srgbClr val="CA41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'4. TV Panel Size Structure'!$C$3:$W$3</c:f>
              <c:strCache>
                <c:ptCount val="21"/>
                <c:pt idx="0">
                  <c:v>20.06</c:v>
                </c:pt>
                <c:pt idx="1">
                  <c:v>20.07</c:v>
                </c:pt>
                <c:pt idx="2">
                  <c:v>20.08</c:v>
                </c:pt>
                <c:pt idx="3">
                  <c:v>20.09</c:v>
                </c:pt>
                <c:pt idx="4">
                  <c:v>20.10</c:v>
                </c:pt>
                <c:pt idx="5">
                  <c:v>20.11</c:v>
                </c:pt>
                <c:pt idx="6">
                  <c:v>20.12</c:v>
                </c:pt>
                <c:pt idx="7">
                  <c:v>21.01</c:v>
                </c:pt>
                <c:pt idx="8">
                  <c:v>21.02</c:v>
                </c:pt>
                <c:pt idx="9">
                  <c:v>21.03</c:v>
                </c:pt>
                <c:pt idx="10">
                  <c:v>21.04</c:v>
                </c:pt>
                <c:pt idx="11">
                  <c:v>21.05</c:v>
                </c:pt>
                <c:pt idx="12">
                  <c:v>21.06</c:v>
                </c:pt>
                <c:pt idx="13">
                  <c:v>21.07</c:v>
                </c:pt>
                <c:pt idx="14">
                  <c:v>21.08</c:v>
                </c:pt>
                <c:pt idx="15">
                  <c:v>21.09</c:v>
                </c:pt>
                <c:pt idx="16">
                  <c:v>21.10</c:v>
                </c:pt>
                <c:pt idx="17">
                  <c:v>21.11</c:v>
                </c:pt>
                <c:pt idx="18">
                  <c:v>21.12</c:v>
                </c:pt>
                <c:pt idx="19">
                  <c:v>22.01</c:v>
                </c:pt>
                <c:pt idx="20">
                  <c:v>22.02</c:v>
                </c:pt>
              </c:strCache>
            </c:strRef>
          </c:cat>
          <c:val>
            <c:numRef>
              <c:f>'4. TV Panel Size Structure'!$C$6:$W$6</c:f>
              <c:numCache>
                <c:formatCode>0%</c:formatCode>
                <c:ptCount val="21"/>
                <c:pt idx="0">
                  <c:v>0.213522424221411</c:v>
                </c:pt>
                <c:pt idx="1">
                  <c:v>0.219961160324446</c:v>
                </c:pt>
                <c:pt idx="2">
                  <c:v>0.228277092054993</c:v>
                </c:pt>
                <c:pt idx="3">
                  <c:v>0.225554106910039</c:v>
                </c:pt>
                <c:pt idx="4">
                  <c:v>0.232328437687881</c:v>
                </c:pt>
                <c:pt idx="5">
                  <c:v>0.244407806790839</c:v>
                </c:pt>
                <c:pt idx="6">
                  <c:v>0.244108979169199</c:v>
                </c:pt>
                <c:pt idx="7">
                  <c:v>0.264767643567972</c:v>
                </c:pt>
                <c:pt idx="8">
                  <c:v>0.239843485821941</c:v>
                </c:pt>
                <c:pt idx="9">
                  <c:v>0.238885659540571</c:v>
                </c:pt>
                <c:pt idx="10">
                  <c:v>0.246555234622851</c:v>
                </c:pt>
                <c:pt idx="11">
                  <c:v>0.228887841658812</c:v>
                </c:pt>
                <c:pt idx="12">
                  <c:v>0.222734329516786</c:v>
                </c:pt>
                <c:pt idx="13">
                  <c:v>0.210664976328665</c:v>
                </c:pt>
                <c:pt idx="14">
                  <c:v>0.221940228932512</c:v>
                </c:pt>
                <c:pt idx="15">
                  <c:v>0.222108113154701</c:v>
                </c:pt>
                <c:pt idx="16">
                  <c:v>0.236098196020086</c:v>
                </c:pt>
                <c:pt idx="17">
                  <c:v>0.2381861575179</c:v>
                </c:pt>
                <c:pt idx="18">
                  <c:v>0.233840220868574</c:v>
                </c:pt>
                <c:pt idx="19">
                  <c:v>0.234190507303869</c:v>
                </c:pt>
                <c:pt idx="20">
                  <c:v>0.236163760424564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DC8-49F5-9228-7D0E8FF9C09D}"/>
            </c:ext>
          </c:extLst>
        </c:ser>
        <c:ser>
          <c:idx val="3"/>
          <c:order val="3"/>
          <c:tx>
            <c:strRef>
              <c:f>'4. TV Panel Size Structure'!$B$7</c:f>
              <c:strCache>
                <c:ptCount val="1"/>
                <c:pt idx="0">
                  <c:v>46-50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'4. TV Panel Size Structure'!$C$3:$W$3</c:f>
              <c:strCache>
                <c:ptCount val="21"/>
                <c:pt idx="0">
                  <c:v>20.06</c:v>
                </c:pt>
                <c:pt idx="1">
                  <c:v>20.07</c:v>
                </c:pt>
                <c:pt idx="2">
                  <c:v>20.08</c:v>
                </c:pt>
                <c:pt idx="3">
                  <c:v>20.09</c:v>
                </c:pt>
                <c:pt idx="4">
                  <c:v>20.10</c:v>
                </c:pt>
                <c:pt idx="5">
                  <c:v>20.11</c:v>
                </c:pt>
                <c:pt idx="6">
                  <c:v>20.12</c:v>
                </c:pt>
                <c:pt idx="7">
                  <c:v>21.01</c:v>
                </c:pt>
                <c:pt idx="8">
                  <c:v>21.02</c:v>
                </c:pt>
                <c:pt idx="9">
                  <c:v>21.03</c:v>
                </c:pt>
                <c:pt idx="10">
                  <c:v>21.04</c:v>
                </c:pt>
                <c:pt idx="11">
                  <c:v>21.05</c:v>
                </c:pt>
                <c:pt idx="12">
                  <c:v>21.06</c:v>
                </c:pt>
                <c:pt idx="13">
                  <c:v>21.07</c:v>
                </c:pt>
                <c:pt idx="14">
                  <c:v>21.08</c:v>
                </c:pt>
                <c:pt idx="15">
                  <c:v>21.09</c:v>
                </c:pt>
                <c:pt idx="16">
                  <c:v>21.10</c:v>
                </c:pt>
                <c:pt idx="17">
                  <c:v>21.11</c:v>
                </c:pt>
                <c:pt idx="18">
                  <c:v>21.12</c:v>
                </c:pt>
                <c:pt idx="19">
                  <c:v>22.01</c:v>
                </c:pt>
                <c:pt idx="20">
                  <c:v>22.02</c:v>
                </c:pt>
              </c:strCache>
            </c:strRef>
          </c:cat>
          <c:val>
            <c:numRef>
              <c:f>'4. TV Panel Size Structure'!$C$7:$W$7</c:f>
              <c:numCache>
                <c:formatCode>0%</c:formatCode>
                <c:ptCount val="21"/>
                <c:pt idx="0">
                  <c:v>0.153999231581944</c:v>
                </c:pt>
                <c:pt idx="1">
                  <c:v>0.141152243708103</c:v>
                </c:pt>
                <c:pt idx="2">
                  <c:v>0.129042450143635</c:v>
                </c:pt>
                <c:pt idx="3">
                  <c:v>0.124490053412962</c:v>
                </c:pt>
                <c:pt idx="4">
                  <c:v>0.124924847547883</c:v>
                </c:pt>
                <c:pt idx="5">
                  <c:v>0.13167275643882</c:v>
                </c:pt>
                <c:pt idx="6">
                  <c:v>0.125093799388784</c:v>
                </c:pt>
                <c:pt idx="7">
                  <c:v>0.12896010225509</c:v>
                </c:pt>
                <c:pt idx="8">
                  <c:v>0.118931452586832</c:v>
                </c:pt>
                <c:pt idx="9">
                  <c:v>0.120906801007557</c:v>
                </c:pt>
                <c:pt idx="10">
                  <c:v>0.123964202850514</c:v>
                </c:pt>
                <c:pt idx="11">
                  <c:v>0.136003770028275</c:v>
                </c:pt>
                <c:pt idx="12">
                  <c:v>0.130069862216185</c:v>
                </c:pt>
                <c:pt idx="13">
                  <c:v>0.12702295822356</c:v>
                </c:pt>
                <c:pt idx="14">
                  <c:v>0.133682084218159</c:v>
                </c:pt>
                <c:pt idx="15">
                  <c:v>0.12155727756512</c:v>
                </c:pt>
                <c:pt idx="16">
                  <c:v>0.121257206620792</c:v>
                </c:pt>
                <c:pt idx="17">
                  <c:v>0.120620525059666</c:v>
                </c:pt>
                <c:pt idx="18">
                  <c:v>0.122135062886191</c:v>
                </c:pt>
                <c:pt idx="19">
                  <c:v>0.112894945629346</c:v>
                </c:pt>
                <c:pt idx="20">
                  <c:v>0.122583396512509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DC8-49F5-9228-7D0E8FF9C09D}"/>
            </c:ext>
          </c:extLst>
        </c:ser>
        <c:ser>
          <c:idx val="4"/>
          <c:order val="4"/>
          <c:tx>
            <c:strRef>
              <c:f>'4. TV Panel Size Structure'!$B$8</c:f>
              <c:strCache>
                <c:ptCount val="1"/>
                <c:pt idx="0">
                  <c:v>55-60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'4. TV Panel Size Structure'!$C$3:$W$3</c:f>
              <c:strCache>
                <c:ptCount val="21"/>
                <c:pt idx="0">
                  <c:v>20.06</c:v>
                </c:pt>
                <c:pt idx="1">
                  <c:v>20.07</c:v>
                </c:pt>
                <c:pt idx="2">
                  <c:v>20.08</c:v>
                </c:pt>
                <c:pt idx="3">
                  <c:v>20.09</c:v>
                </c:pt>
                <c:pt idx="4">
                  <c:v>20.10</c:v>
                </c:pt>
                <c:pt idx="5">
                  <c:v>20.11</c:v>
                </c:pt>
                <c:pt idx="6">
                  <c:v>20.12</c:v>
                </c:pt>
                <c:pt idx="7">
                  <c:v>21.01</c:v>
                </c:pt>
                <c:pt idx="8">
                  <c:v>21.02</c:v>
                </c:pt>
                <c:pt idx="9">
                  <c:v>21.03</c:v>
                </c:pt>
                <c:pt idx="10">
                  <c:v>21.04</c:v>
                </c:pt>
                <c:pt idx="11">
                  <c:v>21.05</c:v>
                </c:pt>
                <c:pt idx="12">
                  <c:v>21.06</c:v>
                </c:pt>
                <c:pt idx="13">
                  <c:v>21.07</c:v>
                </c:pt>
                <c:pt idx="14">
                  <c:v>21.08</c:v>
                </c:pt>
                <c:pt idx="15">
                  <c:v>21.09</c:v>
                </c:pt>
                <c:pt idx="16">
                  <c:v>21.10</c:v>
                </c:pt>
                <c:pt idx="17">
                  <c:v>21.11</c:v>
                </c:pt>
                <c:pt idx="18">
                  <c:v>21.12</c:v>
                </c:pt>
                <c:pt idx="19">
                  <c:v>22.01</c:v>
                </c:pt>
                <c:pt idx="20">
                  <c:v>22.02</c:v>
                </c:pt>
              </c:strCache>
            </c:strRef>
          </c:cat>
          <c:val>
            <c:numRef>
              <c:f>'4. TV Panel Size Structure'!$C$8:$W$8</c:f>
              <c:numCache>
                <c:formatCode>0%</c:formatCode>
                <c:ptCount val="21"/>
                <c:pt idx="0">
                  <c:v>0.210045888388691</c:v>
                </c:pt>
                <c:pt idx="1">
                  <c:v>0.175864660674177</c:v>
                </c:pt>
                <c:pt idx="2">
                  <c:v>0.174481689192279</c:v>
                </c:pt>
                <c:pt idx="3">
                  <c:v>0.17613660259915</c:v>
                </c:pt>
                <c:pt idx="4">
                  <c:v>0.180494717856223</c:v>
                </c:pt>
                <c:pt idx="5">
                  <c:v>0.176365742803672</c:v>
                </c:pt>
                <c:pt idx="6">
                  <c:v>0.172548953848605</c:v>
                </c:pt>
                <c:pt idx="7">
                  <c:v>0.163745092668675</c:v>
                </c:pt>
                <c:pt idx="8">
                  <c:v>0.174339403893532</c:v>
                </c:pt>
                <c:pt idx="9">
                  <c:v>0.177441925552757</c:v>
                </c:pt>
                <c:pt idx="10">
                  <c:v>0.188503243524788</c:v>
                </c:pt>
                <c:pt idx="11">
                  <c:v>0.189161168708765</c:v>
                </c:pt>
                <c:pt idx="12">
                  <c:v>0.19784591500097</c:v>
                </c:pt>
                <c:pt idx="13">
                  <c:v>0.195659925123309</c:v>
                </c:pt>
                <c:pt idx="14">
                  <c:v>0.204381830424198</c:v>
                </c:pt>
                <c:pt idx="15">
                  <c:v>0.192185603585099</c:v>
                </c:pt>
                <c:pt idx="16">
                  <c:v>0.187465129254231</c:v>
                </c:pt>
                <c:pt idx="17">
                  <c:v>0.167828162291169</c:v>
                </c:pt>
                <c:pt idx="18">
                  <c:v>0.166352600902756</c:v>
                </c:pt>
                <c:pt idx="19">
                  <c:v>0.17272599990666</c:v>
                </c:pt>
                <c:pt idx="20">
                  <c:v>0.156937073540561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DC8-49F5-9228-7D0E8FF9C09D}"/>
            </c:ext>
          </c:extLst>
        </c:ser>
        <c:ser>
          <c:idx val="5"/>
          <c:order val="5"/>
          <c:tx>
            <c:strRef>
              <c:f>'4. TV Panel Size Structure'!$B$9</c:f>
              <c:strCache>
                <c:ptCount val="1"/>
                <c:pt idx="0">
                  <c:v>≥65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'4. TV Panel Size Structure'!$C$3:$W$3</c:f>
              <c:strCache>
                <c:ptCount val="21"/>
                <c:pt idx="0">
                  <c:v>20.06</c:v>
                </c:pt>
                <c:pt idx="1">
                  <c:v>20.07</c:v>
                </c:pt>
                <c:pt idx="2">
                  <c:v>20.08</c:v>
                </c:pt>
                <c:pt idx="3">
                  <c:v>20.09</c:v>
                </c:pt>
                <c:pt idx="4">
                  <c:v>20.10</c:v>
                </c:pt>
                <c:pt idx="5">
                  <c:v>20.11</c:v>
                </c:pt>
                <c:pt idx="6">
                  <c:v>20.12</c:v>
                </c:pt>
                <c:pt idx="7">
                  <c:v>21.01</c:v>
                </c:pt>
                <c:pt idx="8">
                  <c:v>21.02</c:v>
                </c:pt>
                <c:pt idx="9">
                  <c:v>21.03</c:v>
                </c:pt>
                <c:pt idx="10">
                  <c:v>21.04</c:v>
                </c:pt>
                <c:pt idx="11">
                  <c:v>21.05</c:v>
                </c:pt>
                <c:pt idx="12">
                  <c:v>21.06</c:v>
                </c:pt>
                <c:pt idx="13">
                  <c:v>21.07</c:v>
                </c:pt>
                <c:pt idx="14">
                  <c:v>21.08</c:v>
                </c:pt>
                <c:pt idx="15">
                  <c:v>21.09</c:v>
                </c:pt>
                <c:pt idx="16">
                  <c:v>21.10</c:v>
                </c:pt>
                <c:pt idx="17">
                  <c:v>21.11</c:v>
                </c:pt>
                <c:pt idx="18">
                  <c:v>21.12</c:v>
                </c:pt>
                <c:pt idx="19">
                  <c:v>22.01</c:v>
                </c:pt>
                <c:pt idx="20">
                  <c:v>22.02</c:v>
                </c:pt>
              </c:strCache>
            </c:strRef>
          </c:cat>
          <c:val>
            <c:numRef>
              <c:f>'4. TV Panel Size Structure'!$C$9:$W$9</c:f>
              <c:numCache>
                <c:formatCode>0%</c:formatCode>
                <c:ptCount val="21"/>
                <c:pt idx="0">
                  <c:v>0.198808857798755</c:v>
                </c:pt>
                <c:pt idx="1">
                  <c:v>0.147829713655144</c:v>
                </c:pt>
                <c:pt idx="2">
                  <c:v>0.146964550741869</c:v>
                </c:pt>
                <c:pt idx="3">
                  <c:v>0.155360222063339</c:v>
                </c:pt>
                <c:pt idx="4">
                  <c:v>0.138624065962381</c:v>
                </c:pt>
                <c:pt idx="5">
                  <c:v>0.140005347117013</c:v>
                </c:pt>
                <c:pt idx="6">
                  <c:v>0.140608951920215</c:v>
                </c:pt>
                <c:pt idx="7">
                  <c:v>0.145393955993792</c:v>
                </c:pt>
                <c:pt idx="8">
                  <c:v>0.155789575382832</c:v>
                </c:pt>
                <c:pt idx="9">
                  <c:v>0.154599668453573</c:v>
                </c:pt>
                <c:pt idx="10">
                  <c:v>0.170225862966997</c:v>
                </c:pt>
                <c:pt idx="11">
                  <c:v>0.170075400565504</c:v>
                </c:pt>
                <c:pt idx="12">
                  <c:v>0.178148651271104</c:v>
                </c:pt>
                <c:pt idx="13">
                  <c:v>0.182051383634095</c:v>
                </c:pt>
                <c:pt idx="14">
                  <c:v>0.187082405345212</c:v>
                </c:pt>
                <c:pt idx="15">
                  <c:v>0.186070394921109</c:v>
                </c:pt>
                <c:pt idx="16">
                  <c:v>0.176120513297378</c:v>
                </c:pt>
                <c:pt idx="17">
                  <c:v>0.174988066825776</c:v>
                </c:pt>
                <c:pt idx="18">
                  <c:v>0.164512029449143</c:v>
                </c:pt>
                <c:pt idx="19">
                  <c:v>0.166192187427078</c:v>
                </c:pt>
                <c:pt idx="20">
                  <c:v>0.162291508718726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DC8-49F5-9228-7D0E8FF9C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168866896"/>
        <c:axId val="-1168776752"/>
      </c:barChart>
      <c:catAx>
        <c:axId val="-116886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168776752"/>
        <c:crosses val="autoZero"/>
        <c:auto val="1"/>
        <c:lblAlgn val="ctr"/>
        <c:lblOffset val="100"/>
        <c:noMultiLvlLbl val="0"/>
      </c:catAx>
      <c:valAx>
        <c:axId val="-1168776752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-116886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6456783706049"/>
          <c:y val="0.225049148891257"/>
          <c:w val="0.0552549706903924"/>
          <c:h val="0.550709193703856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ea typeface="黑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5</xdr:row>
      <xdr:rowOff>28575</xdr:rowOff>
    </xdr:from>
    <xdr:ext cx="8362950" cy="2336800"/>
    <xdr:pic>
      <xdr:nvPicPr>
        <xdr:cNvPr id="2" name="图片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" r="-2" b="1575"/>
        <a:stretch>
          <a:fillRect/>
        </a:stretch>
      </xdr:blipFill>
      <xdr:spPr>
        <a:xfrm>
          <a:off x="152400" y="822325"/>
          <a:ext cx="836295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200025</xdr:colOff>
      <xdr:row>1</xdr:row>
      <xdr:rowOff>142875</xdr:rowOff>
    </xdr:from>
    <xdr:ext cx="2143125" cy="419100"/>
    <xdr:pic>
      <xdr:nvPicPr>
        <xdr:cNvPr id="3" name="图片 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76975" y="301625"/>
          <a:ext cx="21431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407987</xdr:colOff>
      <xdr:row>8</xdr:row>
      <xdr:rowOff>15875</xdr:rowOff>
    </xdr:from>
    <xdr:to>
      <xdr:col>14</xdr:col>
      <xdr:colOff>457200</xdr:colOff>
      <xdr:row>16</xdr:row>
      <xdr:rowOff>155575</xdr:rowOff>
    </xdr:to>
    <xdr:sp macro="" textlink="">
      <xdr:nvSpPr>
        <xdr:cNvPr id="4" name="标题 10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407987" y="1285875"/>
          <a:ext cx="7783513" cy="1409700"/>
        </a:xfrm>
        <a:prstGeom prst="rect">
          <a:avLst/>
        </a:prstGeom>
      </xdr:spPr>
      <xdr:txBody>
        <a:bodyPr wrap="square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25000"/>
            </a:lnSpc>
          </a:pPr>
          <a:r>
            <a:rPr kumimoji="0" lang="en-US" altLang="zh-CN" sz="2400" b="1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Global TV Panel Makers Shipment Monthly Tracker</a:t>
          </a:r>
        </a:p>
        <a:p>
          <a:pPr algn="ctr">
            <a:lnSpc>
              <a:spcPct val="125000"/>
            </a:lnSpc>
          </a:pPr>
          <a:r>
            <a:rPr kumimoji="0" lang="en-US" altLang="zh-CN" sz="2400" b="1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黑体" panose="02010609060101010101" pitchFamily="49" charset="-122"/>
              <a:ea typeface="+mn-ea"/>
              <a:cs typeface="+mn-cs"/>
            </a:rPr>
            <a:t> </a:t>
          </a:r>
          <a:r>
            <a:rPr kumimoji="0" lang="zh-CN" altLang="en-US" sz="24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黑体" panose="02010609060101010101" pitchFamily="49" charset="-122"/>
              <a:ea typeface="黑体" panose="02010609060101010101" pitchFamily="49" charset="-122"/>
              <a:cs typeface="+mn-cs"/>
              <a:sym typeface="+mn-ea"/>
            </a:rPr>
            <a:t>全球电视面板厂出货月度追踪</a:t>
          </a:r>
          <a:endParaRPr kumimoji="0" lang="en-US" altLang="zh-CN" sz="2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黑体" panose="02010609060101010101" pitchFamily="49" charset="-122"/>
            <a:ea typeface="黑体" panose="02010609060101010101" pitchFamily="49" charset="-122"/>
            <a:cs typeface="+mn-cs"/>
            <a:sym typeface="+mn-ea"/>
          </a:endParaRPr>
        </a:p>
        <a:p>
          <a:pPr marL="0" marR="0" lvl="0" indent="0" algn="ctr" defTabSz="914400" rtl="0" eaLnBrk="1" fontAlgn="auto" latinLnBrk="0" hangingPunct="1">
            <a:lnSpc>
              <a:spcPct val="12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2400" b="1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Feb 2022</a:t>
          </a:r>
          <a:endParaRPr kumimoji="0" lang="zh-CN" altLang="zh-CN" sz="2400" b="1" i="0" u="none" strike="noStrike" kern="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黑体" panose="02010609060101010101" pitchFamily="49" charset="-122"/>
            <a:cs typeface="Arial" panose="020B0604020202020204" pitchFamily="34" charset="0"/>
          </a:endParaRPr>
        </a:p>
        <a:p>
          <a:pPr algn="ctr">
            <a:lnSpc>
              <a:spcPct val="150000"/>
            </a:lnSpc>
          </a:pPr>
          <a:endParaRPr kumimoji="0" lang="en-US" altLang="zh-CN" sz="2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黑体" panose="02010609060101010101" pitchFamily="49" charset="-122"/>
            <a:ea typeface="黑体" panose="02010609060101010101" pitchFamily="49" charset="-122"/>
            <a:cs typeface="+mn-cs"/>
            <a:sym typeface="+mn-ea"/>
          </a:endParaRPr>
        </a:p>
      </xdr:txBody>
    </xdr:sp>
    <xdr:clientData/>
  </xdr:twoCellAnchor>
  <xdr:oneCellAnchor>
    <xdr:from>
      <xdr:col>0</xdr:col>
      <xdr:colOff>104775</xdr:colOff>
      <xdr:row>20</xdr:row>
      <xdr:rowOff>110825</xdr:rowOff>
    </xdr:from>
    <xdr:ext cx="895350" cy="892175"/>
    <xdr:pic>
      <xdr:nvPicPr>
        <xdr:cNvPr id="5" name="图片 1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775" y="3285825"/>
          <a:ext cx="895350" cy="892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466725</xdr:colOff>
      <xdr:row>20</xdr:row>
      <xdr:rowOff>85725</xdr:rowOff>
    </xdr:from>
    <xdr:to>
      <xdr:col>15</xdr:col>
      <xdr:colOff>190500</xdr:colOff>
      <xdr:row>25</xdr:row>
      <xdr:rowOff>79443</xdr:rowOff>
    </xdr:to>
    <xdr:sp macro="" textlink="">
      <xdr:nvSpPr>
        <xdr:cNvPr id="6" name="文本框 7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1019175" y="3260725"/>
          <a:ext cx="7458075" cy="9525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20000"/>
            </a:lnSpc>
          </a:pPr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Contact us</a:t>
          </a:r>
          <a:r>
            <a:rPr lang="zh-CN" altLang="en-US" sz="1100" b="1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：</a:t>
          </a:r>
          <a:endParaRPr lang="en-US" altLang="zh-CN" sz="800" b="1">
            <a:solidFill>
              <a:schemeClr val="tx1"/>
            </a:solidFill>
            <a:latin typeface="Arial" panose="020B0604020202020204" pitchFamily="34" charset="0"/>
            <a:ea typeface="黑体" panose="02010609060101010101" pitchFamily="49" charset="-122"/>
            <a:cs typeface="Arial" panose="020B0604020202020204" pitchFamily="34" charset="0"/>
          </a:endParaRPr>
        </a:p>
        <a:p>
          <a:pPr>
            <a:lnSpc>
              <a:spcPct val="120000"/>
            </a:lnSpc>
          </a:pPr>
          <a:r>
            <a:rPr lang="en-US" altLang="zh-CN" sz="800" b="1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Wechat</a:t>
          </a:r>
          <a:r>
            <a:rPr lang="zh-CN" altLang="en-US" sz="800" b="1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： </a:t>
          </a:r>
          <a:r>
            <a:rPr lang="en-US" altLang="zh-CN" sz="800" b="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Runto</a:t>
          </a:r>
          <a:r>
            <a:rPr lang="zh-CN" altLang="en-US" sz="800" b="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洛图科技观研</a:t>
          </a:r>
        </a:p>
        <a:p>
          <a:pPr>
            <a:lnSpc>
              <a:spcPct val="120000"/>
            </a:lnSpc>
          </a:pPr>
          <a:r>
            <a:rPr lang="en-US" altLang="zh-CN" sz="800" b="1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Website</a:t>
          </a:r>
          <a:r>
            <a:rPr lang="zh-CN" altLang="en-US" sz="800" b="1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：</a:t>
          </a:r>
          <a:r>
            <a:rPr lang="en-US" altLang="zh-CN" sz="8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www.runtotech.com                   </a:t>
          </a:r>
        </a:p>
        <a:p>
          <a:pPr>
            <a:lnSpc>
              <a:spcPct val="120000"/>
            </a:lnSpc>
          </a:pPr>
          <a:r>
            <a:rPr lang="en-US" altLang="zh-CN" sz="800" b="1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Tel</a:t>
          </a:r>
          <a:r>
            <a:rPr lang="zh-CN" altLang="en-US" sz="800" b="1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： </a:t>
          </a:r>
          <a:r>
            <a:rPr lang="zh-CN" altLang="en-US" sz="8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  </a:t>
          </a:r>
          <a:r>
            <a:rPr lang="en-US" altLang="zh-CN" sz="8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(010) 6477 7288           </a:t>
          </a:r>
          <a:r>
            <a:rPr lang="zh-CN" altLang="en-US" sz="8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           </a:t>
          </a:r>
          <a:endParaRPr lang="en-US" altLang="zh-CN" sz="800">
            <a:solidFill>
              <a:schemeClr val="tx1"/>
            </a:solidFill>
            <a:latin typeface="Arial" panose="020B0604020202020204" pitchFamily="34" charset="0"/>
            <a:ea typeface="黑体" panose="02010609060101010101" pitchFamily="49" charset="-122"/>
            <a:cs typeface="Arial" panose="020B0604020202020204" pitchFamily="34" charset="0"/>
          </a:endParaRPr>
        </a:p>
        <a:p>
          <a:pPr>
            <a:lnSpc>
              <a:spcPct val="120000"/>
            </a:lnSpc>
          </a:pPr>
          <a:r>
            <a:rPr lang="en-US" altLang="zh-CN" sz="800" b="1" kern="12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Address: </a:t>
          </a:r>
          <a:r>
            <a:rPr lang="en-US" altLang="zh-CN" sz="800" kern="12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Room1703, Building</a:t>
          </a:r>
          <a:r>
            <a:rPr lang="zh-CN" altLang="zh-CN" sz="800" kern="12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 </a:t>
          </a:r>
          <a:r>
            <a:rPr lang="en-US" altLang="zh-CN" sz="800" kern="12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C, Tower 1, Wangjing SOHO, Changyang District, Beijing</a:t>
          </a:r>
          <a:r>
            <a:rPr lang="zh-CN" altLang="zh-CN" sz="800" kern="12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         北京市朝阳区望京</a:t>
          </a:r>
          <a:r>
            <a:rPr lang="en-US" altLang="zh-CN" sz="800" kern="12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SOHO </a:t>
          </a:r>
          <a:r>
            <a:rPr lang="zh-CN" altLang="en-US" sz="800" kern="12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塔</a:t>
          </a:r>
          <a:r>
            <a:rPr lang="en-US" altLang="zh-CN" sz="800" kern="12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1 C</a:t>
          </a:r>
          <a:r>
            <a:rPr lang="zh-CN" altLang="zh-CN" sz="800" kern="12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座</a:t>
          </a:r>
          <a:r>
            <a:rPr lang="en-US" altLang="zh-CN" sz="800" kern="1200">
              <a:solidFill>
                <a:schemeClr val="tx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1703</a:t>
          </a:r>
          <a:endParaRPr lang="zh-CN" altLang="zh-CN" sz="800" kern="1200">
            <a:solidFill>
              <a:schemeClr val="tx1"/>
            </a:solidFill>
            <a:latin typeface="Arial" panose="020B0604020202020204" pitchFamily="34" charset="0"/>
            <a:ea typeface="黑体" panose="02010609060101010101" pitchFamily="49" charset="-122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42332</xdr:colOff>
      <xdr:row>0</xdr:row>
      <xdr:rowOff>9525</xdr:rowOff>
    </xdr:from>
    <xdr:to>
      <xdr:col>9</xdr:col>
      <xdr:colOff>546099</xdr:colOff>
      <xdr:row>1</xdr:row>
      <xdr:rowOff>0</xdr:rowOff>
    </xdr:to>
    <xdr:sp macro="" textlink="">
      <xdr:nvSpPr>
        <xdr:cNvPr id="2" name="TextBox 6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>
          <a:spLocks noChangeAspect="1"/>
        </xdr:cNvSpPr>
      </xdr:nvSpPr>
      <xdr:spPr>
        <a:xfrm>
          <a:off x="268110" y="9525"/>
          <a:ext cx="6465711" cy="7242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>
            <a:lnSpc>
              <a:spcPct val="120000"/>
            </a:lnSpc>
          </a:pPr>
          <a:r>
            <a:rPr lang="en-US" altLang="zh-CN" sz="1400" b="1">
              <a:solidFill>
                <a:schemeClr val="bg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《Global TV Panel Makers Shipment Monthly Tracker</a:t>
          </a:r>
          <a:r>
            <a:rPr lang="en-US" altLang="zh-CN" sz="1400" b="1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  <a:sym typeface="+mn-ea"/>
            </a:rPr>
            <a:t>》Notice</a:t>
          </a:r>
          <a:endParaRPr lang="zh-CN" altLang="en-US" sz="1400" b="1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黑体" panose="02010609060101010101" pitchFamily="49" charset="-122"/>
            <a:cs typeface="Arial" panose="020B0604020202020204" pitchFamily="34" charset="0"/>
            <a:sym typeface="+mn-ea"/>
          </a:endParaRPr>
        </a:p>
        <a:p>
          <a:pPr algn="l">
            <a:lnSpc>
              <a:spcPct val="120000"/>
            </a:lnSpc>
          </a:pPr>
          <a:r>
            <a:rPr lang="en-US" altLang="zh-CN" sz="1400" b="1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t>《</a:t>
          </a:r>
          <a:r>
            <a:rPr lang="zh-CN" altLang="en-US" sz="1400" b="1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t>全球电视面板市场出货月度追踪</a:t>
          </a:r>
          <a:r>
            <a:rPr lang="en-US" altLang="zh-CN" sz="1400" b="1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t>》</a:t>
          </a:r>
          <a:r>
            <a:rPr lang="zh-CN" altLang="en-US" sz="1400" b="1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t>报告说明</a:t>
          </a:r>
          <a:endParaRPr lang="en-US" sz="1400" b="1">
            <a:solidFill>
              <a:schemeClr val="bg1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203200</xdr:colOff>
      <xdr:row>0</xdr:row>
      <xdr:rowOff>12700</xdr:rowOff>
    </xdr:from>
    <xdr:to>
      <xdr:col>8</xdr:col>
      <xdr:colOff>19050</xdr:colOff>
      <xdr:row>0</xdr:row>
      <xdr:rowOff>733425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xmlns="" id="{A95D745B-8224-4E5F-82A9-236AA76BCCD9}"/>
            </a:ext>
          </a:extLst>
        </xdr:cNvPr>
        <xdr:cNvSpPr txBox="1">
          <a:spLocks noChangeAspect="1"/>
        </xdr:cNvSpPr>
      </xdr:nvSpPr>
      <xdr:spPr>
        <a:xfrm>
          <a:off x="203200" y="12700"/>
          <a:ext cx="5657850" cy="720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>
            <a:lnSpc>
              <a:spcPct val="120000"/>
            </a:lnSpc>
          </a:pPr>
          <a:r>
            <a:rPr lang="en-US" altLang="zh-CN" sz="1400" b="1">
              <a:solidFill>
                <a:schemeClr val="bg1"/>
              </a:solidFill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</a:rPr>
            <a:t>《Global TV Panel Makers Shipment Monthly Tracker</a:t>
          </a:r>
          <a:r>
            <a:rPr lang="en-US" altLang="zh-CN" sz="1400" b="1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黑体" panose="02010609060101010101" pitchFamily="49" charset="-122"/>
              <a:cs typeface="Arial" panose="020B0604020202020204" pitchFamily="34" charset="0"/>
              <a:sym typeface="+mn-ea"/>
            </a:rPr>
            <a:t>》Contents</a:t>
          </a:r>
          <a:endParaRPr lang="zh-CN" altLang="en-US" sz="1400" b="1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黑体" panose="02010609060101010101" pitchFamily="49" charset="-122"/>
            <a:cs typeface="Arial" panose="020B0604020202020204" pitchFamily="34" charset="0"/>
            <a:sym typeface="+mn-ea"/>
          </a:endParaRPr>
        </a:p>
        <a:p>
          <a:pPr algn="l">
            <a:lnSpc>
              <a:spcPct val="120000"/>
            </a:lnSpc>
          </a:pPr>
          <a:r>
            <a:rPr lang="en-US" altLang="zh-CN" sz="1400" b="1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t>《</a:t>
          </a:r>
          <a:r>
            <a:rPr lang="zh-CN" altLang="en-US" sz="1400" b="1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t>全球电视面板市场出货月度追踪</a:t>
          </a:r>
          <a:r>
            <a:rPr lang="en-US" altLang="zh-CN" sz="1400" b="1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t>》</a:t>
          </a:r>
          <a:r>
            <a:rPr lang="zh-CN" altLang="en-US" sz="1400" b="1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t>目录</a:t>
          </a:r>
          <a:endParaRPr lang="en-US" sz="1400" b="1">
            <a:solidFill>
              <a:schemeClr val="bg1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12698</xdr:colOff>
      <xdr:row>5</xdr:row>
      <xdr:rowOff>96836</xdr:rowOff>
    </xdr:from>
    <xdr:to>
      <xdr:col>23</xdr:col>
      <xdr:colOff>603250</xdr:colOff>
      <xdr:row>22</xdr:row>
      <xdr:rowOff>101599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225423</xdr:colOff>
      <xdr:row>10</xdr:row>
      <xdr:rowOff>36511</xdr:rowOff>
    </xdr:from>
    <xdr:to>
      <xdr:col>23</xdr:col>
      <xdr:colOff>0</xdr:colOff>
      <xdr:row>28</xdr:row>
      <xdr:rowOff>7055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%25%20CostModel_PDP/2007Q3/Unprotected/PDPCostModelMai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taBase/Report/Glass/Q108/SystemMai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/Cost/2005.09/Q_System_VerE(Q305)09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taBase/Report/Glass/Q108/Q_System_Ve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"/>
      <sheetName val="Parameter"/>
      <sheetName val="CostTable_JPY"/>
      <sheetName val="CostTable_USD"/>
      <sheetName val="Comparison"/>
      <sheetName val="Glass"/>
      <sheetName val="GlassData"/>
      <sheetName val="AgPaste"/>
      <sheetName val="AgPasteData"/>
      <sheetName val="OtherChemicals"/>
      <sheetName val="DriverIC"/>
      <sheetName val="DriverData"/>
      <sheetName val="DrivingA"/>
      <sheetName val="DrivingB"/>
      <sheetName val="DrivingB_ScanIC"/>
      <sheetName val="Logic"/>
      <sheetName val="Circuit_Others"/>
      <sheetName val="Chassis"/>
      <sheetName val="ChassisData"/>
      <sheetName val="OtherMechanical"/>
      <sheetName val="IndirectExpense"/>
      <sheetName val="ModulePrice"/>
      <sheetName val="OpticalFilter"/>
      <sheetName val="PowerSupply"/>
      <sheetName val="FabOperation"/>
      <sheetName val="Panelization"/>
      <sheetName val="ProcessYield"/>
      <sheetName val="Labor"/>
      <sheetName val="Salary"/>
      <sheetName val="Exchange"/>
      <sheetName val="Investment"/>
      <sheetName val="SLN_Dep"/>
      <sheetName val="DepChoice"/>
      <sheetName val="DB_Dep"/>
      <sheetName val="BldgSLN_Dep"/>
      <sheetName val="BldgDB_Dep"/>
      <sheetName val="BldgDepChoice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"/>
      <sheetName val="Comparison"/>
      <sheetName val="CostTable_JPY"/>
      <sheetName val="CostTable_USD"/>
      <sheetName val="Panelization"/>
      <sheetName val="Glass"/>
      <sheetName val="Target"/>
      <sheetName val="Chemical"/>
      <sheetName val="Polarizer"/>
      <sheetName val="PolarizerYield"/>
      <sheetName val="LC"/>
      <sheetName val="CellOther"/>
      <sheetName val="Driver"/>
      <sheetName val="BackLight"/>
      <sheetName val="Inverter"/>
      <sheetName val="PCBetc"/>
      <sheetName val="Labor"/>
      <sheetName val="ProcessYield"/>
      <sheetName val="Salary"/>
      <sheetName val="ModulePrice"/>
      <sheetName val="Exchange"/>
      <sheetName val="Parameter"/>
      <sheetName val="SLN_Dep"/>
      <sheetName val="DB_Dep"/>
      <sheetName val="DepChoice"/>
      <sheetName val="BldgSLN_Dep"/>
      <sheetName val="BldgDB_Dep"/>
      <sheetName val="BldgDepChoic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9">
          <cell r="AH9">
            <v>10</v>
          </cell>
          <cell r="AI9" t="str">
            <v>Q1'99</v>
          </cell>
        </row>
        <row r="10">
          <cell r="AH10">
            <v>11</v>
          </cell>
          <cell r="AI10" t="str">
            <v>Q2'99</v>
          </cell>
        </row>
        <row r="11">
          <cell r="AH11">
            <v>12</v>
          </cell>
          <cell r="AI11" t="str">
            <v>Q3'99</v>
          </cell>
        </row>
        <row r="12">
          <cell r="AH12">
            <v>13</v>
          </cell>
          <cell r="AI12" t="str">
            <v>Q4'99</v>
          </cell>
        </row>
        <row r="13">
          <cell r="AH13">
            <v>14</v>
          </cell>
          <cell r="AI13" t="str">
            <v>Q1'00</v>
          </cell>
        </row>
        <row r="14">
          <cell r="AH14">
            <v>15</v>
          </cell>
          <cell r="AI14" t="str">
            <v>Q2'00</v>
          </cell>
        </row>
        <row r="15">
          <cell r="AH15">
            <v>16</v>
          </cell>
          <cell r="AI15" t="str">
            <v>Q3'00</v>
          </cell>
        </row>
        <row r="16">
          <cell r="AH16">
            <v>17</v>
          </cell>
          <cell r="AI16" t="str">
            <v>Q4'00</v>
          </cell>
        </row>
        <row r="17">
          <cell r="AH17">
            <v>18</v>
          </cell>
          <cell r="AI17" t="str">
            <v>Q1'01</v>
          </cell>
        </row>
        <row r="18">
          <cell r="AH18">
            <v>19</v>
          </cell>
          <cell r="AI18" t="str">
            <v>Q2'01</v>
          </cell>
        </row>
        <row r="19">
          <cell r="AH19">
            <v>20</v>
          </cell>
          <cell r="AI19" t="str">
            <v>Q3'01</v>
          </cell>
        </row>
        <row r="20">
          <cell r="AH20">
            <v>21</v>
          </cell>
          <cell r="AI20" t="str">
            <v>Q4'01</v>
          </cell>
        </row>
        <row r="21">
          <cell r="AH21">
            <v>22</v>
          </cell>
          <cell r="AI21" t="str">
            <v>Q1'02</v>
          </cell>
        </row>
        <row r="22">
          <cell r="AH22">
            <v>23</v>
          </cell>
          <cell r="AI22" t="str">
            <v>Q2'02</v>
          </cell>
        </row>
        <row r="23">
          <cell r="AH23">
            <v>24</v>
          </cell>
          <cell r="AI23" t="str">
            <v>Q3'02</v>
          </cell>
        </row>
        <row r="24">
          <cell r="AH24">
            <v>25</v>
          </cell>
          <cell r="AI24" t="str">
            <v>Q4'02</v>
          </cell>
        </row>
        <row r="25">
          <cell r="AH25">
            <v>26</v>
          </cell>
          <cell r="AI25" t="str">
            <v>Q1'03</v>
          </cell>
        </row>
        <row r="26">
          <cell r="AH26">
            <v>27</v>
          </cell>
          <cell r="AI26" t="str">
            <v>Q2'03</v>
          </cell>
        </row>
        <row r="27">
          <cell r="AH27">
            <v>28</v>
          </cell>
          <cell r="AI27" t="str">
            <v>Q3'03</v>
          </cell>
        </row>
        <row r="28">
          <cell r="AH28">
            <v>29</v>
          </cell>
          <cell r="AI28" t="str">
            <v>Q4'03</v>
          </cell>
        </row>
        <row r="29">
          <cell r="AH29">
            <v>30</v>
          </cell>
          <cell r="AI29" t="str">
            <v>Q1'04</v>
          </cell>
        </row>
        <row r="30">
          <cell r="AH30">
            <v>31</v>
          </cell>
          <cell r="AI30" t="str">
            <v>Q2'04</v>
          </cell>
        </row>
        <row r="31">
          <cell r="AH31">
            <v>32</v>
          </cell>
          <cell r="AI31" t="str">
            <v>Q3'04</v>
          </cell>
        </row>
        <row r="32">
          <cell r="AH32">
            <v>33</v>
          </cell>
          <cell r="AI32" t="str">
            <v>Q4'04</v>
          </cell>
        </row>
        <row r="33">
          <cell r="AH33">
            <v>34</v>
          </cell>
          <cell r="AI33" t="str">
            <v>Q1'05</v>
          </cell>
        </row>
        <row r="34">
          <cell r="AH34">
            <v>35</v>
          </cell>
          <cell r="AI34" t="str">
            <v>Q2'05</v>
          </cell>
        </row>
        <row r="35">
          <cell r="AH35">
            <v>36</v>
          </cell>
          <cell r="AI35" t="str">
            <v>Q3'05</v>
          </cell>
        </row>
        <row r="36">
          <cell r="AH36">
            <v>37</v>
          </cell>
          <cell r="AI36" t="str">
            <v>Q4'05</v>
          </cell>
        </row>
        <row r="37">
          <cell r="AH37">
            <v>38</v>
          </cell>
          <cell r="AI37" t="str">
            <v>Q1'06</v>
          </cell>
        </row>
        <row r="38">
          <cell r="AH38">
            <v>39</v>
          </cell>
          <cell r="AI38" t="str">
            <v>Q2'06</v>
          </cell>
        </row>
        <row r="39">
          <cell r="AH39">
            <v>40</v>
          </cell>
          <cell r="AI39" t="str">
            <v>Q3'06</v>
          </cell>
        </row>
        <row r="40">
          <cell r="AH40">
            <v>41</v>
          </cell>
          <cell r="AI40" t="str">
            <v>Q4'06</v>
          </cell>
        </row>
        <row r="41">
          <cell r="AH41">
            <v>42</v>
          </cell>
          <cell r="AI41" t="str">
            <v>Q1'07</v>
          </cell>
        </row>
        <row r="42">
          <cell r="AH42">
            <v>43</v>
          </cell>
          <cell r="AI42" t="str">
            <v>Q2'07</v>
          </cell>
        </row>
        <row r="43">
          <cell r="AH43">
            <v>44</v>
          </cell>
          <cell r="AI43" t="str">
            <v>Q3'07</v>
          </cell>
        </row>
        <row r="44">
          <cell r="AH44">
            <v>45</v>
          </cell>
          <cell r="AI44" t="str">
            <v>Q4'07</v>
          </cell>
        </row>
        <row r="45">
          <cell r="AH45">
            <v>46</v>
          </cell>
          <cell r="AI45" t="str">
            <v>Q1'08</v>
          </cell>
        </row>
        <row r="46">
          <cell r="AH46">
            <v>47</v>
          </cell>
          <cell r="AI46" t="str">
            <v>Q2'08</v>
          </cell>
        </row>
        <row r="47">
          <cell r="AH47">
            <v>48</v>
          </cell>
          <cell r="AI47" t="str">
            <v>Q3'08</v>
          </cell>
        </row>
        <row r="48">
          <cell r="AH48">
            <v>49</v>
          </cell>
          <cell r="AI48" t="str">
            <v>Q4'08</v>
          </cell>
        </row>
        <row r="49">
          <cell r="AH49">
            <v>50</v>
          </cell>
          <cell r="AI49" t="str">
            <v>Q1'09</v>
          </cell>
        </row>
        <row r="50">
          <cell r="AH50">
            <v>51</v>
          </cell>
          <cell r="AI50" t="str">
            <v>Q2'09</v>
          </cell>
        </row>
        <row r="51">
          <cell r="AH51">
            <v>52</v>
          </cell>
          <cell r="AI51" t="str">
            <v>Q3'09</v>
          </cell>
        </row>
        <row r="52">
          <cell r="AH52">
            <v>53</v>
          </cell>
          <cell r="AI52" t="str">
            <v>Q4'09</v>
          </cell>
        </row>
        <row r="53">
          <cell r="AH53">
            <v>54</v>
          </cell>
          <cell r="AI53" t="str">
            <v>Q1'10</v>
          </cell>
        </row>
        <row r="54">
          <cell r="AH54">
            <v>55</v>
          </cell>
          <cell r="AI54" t="str">
            <v>Q2'10</v>
          </cell>
        </row>
        <row r="55">
          <cell r="AH55">
            <v>56</v>
          </cell>
          <cell r="AI55" t="str">
            <v>Q3'10</v>
          </cell>
        </row>
        <row r="56">
          <cell r="AH56">
            <v>57</v>
          </cell>
          <cell r="AI56" t="str">
            <v>Q4'10</v>
          </cell>
        </row>
        <row r="57">
          <cell r="AH57">
            <v>58</v>
          </cell>
          <cell r="AI57" t="str">
            <v>Q1'11</v>
          </cell>
        </row>
        <row r="58">
          <cell r="AH58">
            <v>59</v>
          </cell>
          <cell r="AI58" t="str">
            <v>Q2'11</v>
          </cell>
        </row>
        <row r="59">
          <cell r="AH59">
            <v>60</v>
          </cell>
          <cell r="AI59" t="str">
            <v>Q3'11</v>
          </cell>
        </row>
        <row r="60">
          <cell r="AH60">
            <v>61</v>
          </cell>
          <cell r="AI60" t="str">
            <v>Q4'11</v>
          </cell>
        </row>
        <row r="61">
          <cell r="AH61">
            <v>62</v>
          </cell>
          <cell r="AI61" t="str">
            <v>Q1'12</v>
          </cell>
        </row>
        <row r="62">
          <cell r="AH62">
            <v>63</v>
          </cell>
          <cell r="AI62" t="str">
            <v>Q2'12</v>
          </cell>
        </row>
        <row r="63">
          <cell r="AH63">
            <v>64</v>
          </cell>
          <cell r="AI63" t="str">
            <v>Q3'12</v>
          </cell>
        </row>
        <row r="64">
          <cell r="AH64">
            <v>65</v>
          </cell>
          <cell r="AI64" t="str">
            <v>Q4'12</v>
          </cell>
        </row>
        <row r="65">
          <cell r="AH65">
            <v>66</v>
          </cell>
          <cell r="AI65" t="str">
            <v>Q1'13</v>
          </cell>
        </row>
        <row r="66">
          <cell r="AH66">
            <v>67</v>
          </cell>
          <cell r="AI66" t="str">
            <v>Q2'13</v>
          </cell>
        </row>
        <row r="67">
          <cell r="AH67">
            <v>68</v>
          </cell>
          <cell r="AI67" t="str">
            <v>Q3'13</v>
          </cell>
        </row>
        <row r="68">
          <cell r="AH68">
            <v>69</v>
          </cell>
          <cell r="AI68" t="str">
            <v>Q4'13</v>
          </cell>
        </row>
        <row r="69">
          <cell r="AH69">
            <v>70</v>
          </cell>
          <cell r="AI69" t="str">
            <v>Q1'14</v>
          </cell>
        </row>
        <row r="70">
          <cell r="AH70">
            <v>71</v>
          </cell>
          <cell r="AI70" t="str">
            <v>Q2'14</v>
          </cell>
        </row>
        <row r="71">
          <cell r="AH71">
            <v>72</v>
          </cell>
          <cell r="AI71" t="str">
            <v>Q3'14</v>
          </cell>
        </row>
        <row r="72">
          <cell r="AH72">
            <v>73</v>
          </cell>
          <cell r="AI72" t="str">
            <v>Q4'14</v>
          </cell>
        </row>
        <row r="73">
          <cell r="AH73">
            <v>74</v>
          </cell>
          <cell r="AI73" t="str">
            <v>Q1'15</v>
          </cell>
        </row>
        <row r="74">
          <cell r="AH74">
            <v>75</v>
          </cell>
          <cell r="AI74" t="str">
            <v>Q2'15</v>
          </cell>
        </row>
        <row r="75">
          <cell r="AH75">
            <v>76</v>
          </cell>
          <cell r="AI75" t="str">
            <v>Q3'15</v>
          </cell>
        </row>
        <row r="76">
          <cell r="AH76">
            <v>77</v>
          </cell>
          <cell r="AI76" t="str">
            <v>Q4'15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New"/>
      <sheetName val="Parameter"/>
      <sheetName val="Panelization"/>
      <sheetName val="Glass"/>
      <sheetName val="Target"/>
      <sheetName val="Target (2)"/>
      <sheetName val="Chemical"/>
      <sheetName val="Polarizer"/>
      <sheetName val="Polarizer (2)"/>
      <sheetName val="PolarizerYield"/>
      <sheetName val="LC"/>
      <sheetName val="CellOther"/>
      <sheetName val="Driver"/>
      <sheetName val="BackLight"/>
      <sheetName val="Inverter"/>
      <sheetName val="PCB, etc"/>
      <sheetName val="ProcessYield"/>
      <sheetName val="SLN_Dep"/>
      <sheetName val="DB_Dep"/>
      <sheetName val="DepChoice"/>
      <sheetName val="BldgSLN_Dep"/>
      <sheetName val="BldgDB_Dep"/>
      <sheetName val="BldgDepChoice"/>
      <sheetName val="Labor"/>
      <sheetName val="Salary"/>
      <sheetName val="ModulePrice"/>
      <sheetName val="Exchange"/>
    </sheetNames>
    <sheetDataSet>
      <sheetData sheetId="0"/>
      <sheetData sheetId="1">
        <row r="8">
          <cell r="C8" t="str">
            <v>S_R</v>
          </cell>
          <cell r="D8" t="str">
            <v>Siplified Code</v>
          </cell>
          <cell r="E8" t="str">
            <v>Cell Area (c㎡)</v>
          </cell>
          <cell r="F8" t="str">
            <v>Film Area (c㎡)</v>
          </cell>
          <cell r="G8" t="str">
            <v>LC (Gram)</v>
          </cell>
        </row>
        <row r="9">
          <cell r="C9" t="str">
            <v>12.1_XGA</v>
          </cell>
          <cell r="D9" t="str">
            <v>X12</v>
          </cell>
          <cell r="E9">
            <v>453.39780287999992</v>
          </cell>
          <cell r="F9">
            <v>488.45988287999995</v>
          </cell>
          <cell r="G9">
            <v>0.3706727756796836</v>
          </cell>
        </row>
        <row r="10">
          <cell r="C10" t="str">
            <v>13.3_XGA</v>
          </cell>
          <cell r="D10" t="str">
            <v>X13</v>
          </cell>
          <cell r="E10">
            <v>547.78729152000017</v>
          </cell>
          <cell r="F10">
            <v>586.26313152000012</v>
          </cell>
          <cell r="G10">
            <v>0.44784036124567489</v>
          </cell>
        </row>
        <row r="11">
          <cell r="C11" t="str">
            <v>14.1_XGA</v>
          </cell>
          <cell r="D11" t="str">
            <v>X14</v>
          </cell>
          <cell r="E11">
            <v>615.66844607999997</v>
          </cell>
          <cell r="F11">
            <v>656.42012607999993</v>
          </cell>
          <cell r="G11">
            <v>0.50333621018289665</v>
          </cell>
        </row>
        <row r="12">
          <cell r="C12" t="str">
            <v>15.0_XGA</v>
          </cell>
          <cell r="D12" t="str">
            <v>X15</v>
          </cell>
          <cell r="E12">
            <v>696.77279999999996</v>
          </cell>
          <cell r="F12">
            <v>740.08480000000009</v>
          </cell>
          <cell r="G12">
            <v>0.56964260998517058</v>
          </cell>
        </row>
        <row r="13">
          <cell r="C13" t="str">
            <v>15.4_XGA Wide</v>
          </cell>
          <cell r="D13" t="str">
            <v>W15</v>
          </cell>
          <cell r="E13">
            <v>675.02711294117648</v>
          </cell>
          <cell r="F13">
            <v>718.60048034235649</v>
          </cell>
          <cell r="G13">
            <v>0.55186454813759422</v>
          </cell>
        </row>
        <row r="14">
          <cell r="C14" t="str">
            <v>17.0_SXGA</v>
          </cell>
          <cell r="D14" t="str">
            <v>S17</v>
          </cell>
          <cell r="E14">
            <v>909.51824390243905</v>
          </cell>
          <cell r="F14">
            <v>958.71204177855907</v>
          </cell>
          <cell r="G14">
            <v>0.74357142857142866</v>
          </cell>
        </row>
        <row r="15">
          <cell r="C15" t="str">
            <v>19.0_SXGA</v>
          </cell>
          <cell r="D15" t="str">
            <v>S19</v>
          </cell>
          <cell r="E15">
            <v>1136.1110243902438</v>
          </cell>
          <cell r="F15">
            <v>1191.0170337812015</v>
          </cell>
          <cell r="G15">
            <v>0.92882105783489866</v>
          </cell>
        </row>
        <row r="16">
          <cell r="C16" t="str">
            <v>23.0_XGA Wide</v>
          </cell>
          <cell r="D16" t="str">
            <v>W23</v>
          </cell>
          <cell r="E16">
            <v>1505.6895882352942</v>
          </cell>
          <cell r="F16">
            <v>1570.4508512370567</v>
          </cell>
          <cell r="G16">
            <v>1.2309678949434446</v>
          </cell>
        </row>
        <row r="17">
          <cell r="C17" t="str">
            <v>26.0_XGA Wide</v>
          </cell>
          <cell r="D17" t="str">
            <v>W26</v>
          </cell>
          <cell r="E17">
            <v>1924.094823529412</v>
          </cell>
          <cell r="F17">
            <v>1997.219729531404</v>
          </cell>
          <cell r="G17">
            <v>1.5730326975080693</v>
          </cell>
        </row>
        <row r="18">
          <cell r="C18" t="str">
            <v>32.0_1366x768</v>
          </cell>
          <cell r="D18" t="str">
            <v>W32</v>
          </cell>
          <cell r="E18">
            <v>2822.9291679525222</v>
          </cell>
          <cell r="F18">
            <v>2912.1212425243762</v>
          </cell>
          <cell r="G18">
            <v>2.307869565281166</v>
          </cell>
        </row>
        <row r="19">
          <cell r="C19" t="str">
            <v>37.0_1366x768</v>
          </cell>
          <cell r="D19" t="str">
            <v>W37</v>
          </cell>
          <cell r="E19">
            <v>3774.0137020771517</v>
          </cell>
          <cell r="F19">
            <v>3877.0420383008577</v>
          </cell>
          <cell r="G19">
            <v>3.085423276240153</v>
          </cell>
        </row>
        <row r="20">
          <cell r="C20" t="str">
            <v>40.0_1366x768</v>
          </cell>
          <cell r="D20" t="str">
            <v>W40</v>
          </cell>
          <cell r="E20">
            <v>4410.8268249258153</v>
          </cell>
          <cell r="F20">
            <v>4522.156918140633</v>
          </cell>
          <cell r="G20">
            <v>3.6060461957518211</v>
          </cell>
        </row>
        <row r="21">
          <cell r="C21" t="str">
            <v>42.0_XGA Wide+</v>
          </cell>
          <cell r="D21" t="str">
            <v>W42</v>
          </cell>
          <cell r="E21">
            <v>4862.9365744807128</v>
          </cell>
          <cell r="F21">
            <v>4979.8011723562713</v>
          </cell>
          <cell r="G21">
            <v>3.9756659308163838</v>
          </cell>
        </row>
        <row r="22">
          <cell r="C22" t="str">
            <v>46.0_1920x1080</v>
          </cell>
          <cell r="D22" t="str">
            <v>W46</v>
          </cell>
          <cell r="E22">
            <v>5833.3184759643927</v>
          </cell>
          <cell r="F22">
            <v>5961.252083161432</v>
          </cell>
          <cell r="G22">
            <v>4.7689960938817846</v>
          </cell>
        </row>
        <row r="23">
          <cell r="D23" t="e">
            <v>#N/A</v>
          </cell>
          <cell r="E23" t="e">
            <v>#N/A</v>
          </cell>
          <cell r="F23" t="e">
            <v>#N/A</v>
          </cell>
        </row>
        <row r="24">
          <cell r="D24" t="e">
            <v>#N/A</v>
          </cell>
          <cell r="E24" t="e">
            <v>#N/A</v>
          </cell>
          <cell r="F24" t="e">
            <v>#N/A</v>
          </cell>
        </row>
        <row r="25">
          <cell r="D25" t="e">
            <v>#N/A</v>
          </cell>
          <cell r="E25" t="e">
            <v>#N/A</v>
          </cell>
          <cell r="F25" t="e">
            <v>#N/A</v>
          </cell>
        </row>
        <row r="26">
          <cell r="D26" t="e">
            <v>#N/A</v>
          </cell>
          <cell r="E26" t="e">
            <v>#N/A</v>
          </cell>
          <cell r="F26" t="e">
            <v>#N/A</v>
          </cell>
        </row>
        <row r="27">
          <cell r="D27" t="e">
            <v>#N/A</v>
          </cell>
          <cell r="E27" t="e">
            <v>#N/A</v>
          </cell>
          <cell r="F27" t="e">
            <v>#N/A</v>
          </cell>
        </row>
        <row r="28">
          <cell r="D28" t="e">
            <v>#N/A</v>
          </cell>
          <cell r="E28" t="e">
            <v>#N/A</v>
          </cell>
          <cell r="F28" t="e">
            <v>#N/A</v>
          </cell>
        </row>
        <row r="29">
          <cell r="D29" t="e">
            <v>#N/A</v>
          </cell>
          <cell r="E29" t="e">
            <v>#N/A</v>
          </cell>
          <cell r="F29" t="e">
            <v>#N/A</v>
          </cell>
        </row>
        <row r="30">
          <cell r="D30" t="e">
            <v>#N/A</v>
          </cell>
          <cell r="E30" t="e">
            <v>#N/A</v>
          </cell>
          <cell r="F30" t="e">
            <v>#N/A</v>
          </cell>
        </row>
        <row r="31">
          <cell r="D31" t="e">
            <v>#N/A</v>
          </cell>
          <cell r="E31" t="e">
            <v>#N/A</v>
          </cell>
          <cell r="F31" t="e">
            <v>#N/A</v>
          </cell>
        </row>
        <row r="32">
          <cell r="D32" t="e">
            <v>#N/A</v>
          </cell>
          <cell r="E32" t="e">
            <v>#N/A</v>
          </cell>
          <cell r="F32" t="e">
            <v>#N/A</v>
          </cell>
        </row>
        <row r="33">
          <cell r="D33" t="e">
            <v>#N/A</v>
          </cell>
          <cell r="E33" t="e">
            <v>#N/A</v>
          </cell>
          <cell r="F33" t="e">
            <v>#N/A</v>
          </cell>
        </row>
        <row r="34">
          <cell r="D34" t="e">
            <v>#N/A</v>
          </cell>
          <cell r="E34" t="e">
            <v>#N/A</v>
          </cell>
          <cell r="F34" t="e">
            <v>#N/A</v>
          </cell>
        </row>
        <row r="35">
          <cell r="D35" t="e">
            <v>#N/A</v>
          </cell>
          <cell r="E35" t="e">
            <v>#N/A</v>
          </cell>
          <cell r="F35" t="e">
            <v>#N/A</v>
          </cell>
        </row>
        <row r="36">
          <cell r="D36" t="e">
            <v>#N/A</v>
          </cell>
          <cell r="E36" t="e">
            <v>#N/A</v>
          </cell>
          <cell r="F36" t="e">
            <v>#N/A</v>
          </cell>
        </row>
        <row r="37">
          <cell r="D37" t="e">
            <v>#N/A</v>
          </cell>
          <cell r="E37" t="e">
            <v>#N/A</v>
          </cell>
          <cell r="F37" t="e">
            <v>#N/A</v>
          </cell>
        </row>
        <row r="38">
          <cell r="D38" t="e">
            <v>#N/A</v>
          </cell>
          <cell r="E38" t="e">
            <v>#N/A</v>
          </cell>
          <cell r="F38" t="e">
            <v>#N/A</v>
          </cell>
        </row>
        <row r="39">
          <cell r="D39" t="e">
            <v>#N/A</v>
          </cell>
          <cell r="E39" t="e">
            <v>#N/A</v>
          </cell>
          <cell r="F39" t="e">
            <v>#N/A</v>
          </cell>
        </row>
        <row r="40">
          <cell r="D40" t="e">
            <v>#N/A</v>
          </cell>
          <cell r="E40" t="e">
            <v>#N/A</v>
          </cell>
          <cell r="F40" t="e">
            <v>#N/A</v>
          </cell>
        </row>
        <row r="41">
          <cell r="D41" t="e">
            <v>#N/A</v>
          </cell>
          <cell r="E41" t="e">
            <v>#N/A</v>
          </cell>
          <cell r="F41" t="e">
            <v>#N/A</v>
          </cell>
        </row>
        <row r="42">
          <cell r="D42" t="e">
            <v>#N/A</v>
          </cell>
          <cell r="E42" t="e">
            <v>#N/A</v>
          </cell>
          <cell r="F42" t="e">
            <v>#N/A</v>
          </cell>
        </row>
        <row r="43">
          <cell r="D43" t="e">
            <v>#N/A</v>
          </cell>
          <cell r="E43" t="e">
            <v>#N/A</v>
          </cell>
          <cell r="F43" t="e">
            <v>#N/A</v>
          </cell>
        </row>
      </sheetData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Panelization"/>
      <sheetName val="Dep"/>
      <sheetName val="DB_Dep"/>
      <sheetName val="SLN_Dep"/>
      <sheetName val="SamNew"/>
      <sheetName val="Glass"/>
      <sheetName val="Target"/>
      <sheetName val="Chemical"/>
      <sheetName val="Polarizer"/>
      <sheetName val="PolarizerYield"/>
      <sheetName val="LC"/>
      <sheetName val="CellOther"/>
      <sheetName val="Driver"/>
      <sheetName val="BackLight"/>
      <sheetName val="Inverter"/>
      <sheetName val="TCON"/>
      <sheetName val="ProcessYield"/>
      <sheetName val="Salary"/>
      <sheetName val="LaborHead"/>
      <sheetName val="ModulePrice"/>
      <sheetName val="Exchange"/>
    </sheetNames>
    <sheetDataSet>
      <sheetData sheetId="0">
        <row r="9">
          <cell r="C9" t="str">
            <v>12.1_XGA</v>
          </cell>
        </row>
        <row r="10">
          <cell r="C10" t="str">
            <v>13.3_XGA</v>
          </cell>
        </row>
        <row r="11">
          <cell r="C11" t="str">
            <v>14.1_XGA</v>
          </cell>
        </row>
        <row r="12">
          <cell r="C12" t="str">
            <v>15.0_XGA</v>
          </cell>
        </row>
        <row r="13">
          <cell r="C13" t="str">
            <v>17.0_SXGA</v>
          </cell>
        </row>
        <row r="14">
          <cell r="C14" t="str">
            <v>19.0_SXGA</v>
          </cell>
        </row>
        <row r="15">
          <cell r="C15" t="str">
            <v>22.0_XGA Wide</v>
          </cell>
        </row>
        <row r="16">
          <cell r="C16" t="str">
            <v>26.0_XGA Wide</v>
          </cell>
        </row>
        <row r="17">
          <cell r="C17" t="str">
            <v>32.0_1366x768</v>
          </cell>
        </row>
        <row r="18">
          <cell r="C18" t="str">
            <v>37.0_1366x768</v>
          </cell>
        </row>
        <row r="19">
          <cell r="C19" t="str">
            <v>40.0_1366x768</v>
          </cell>
        </row>
        <row r="20">
          <cell r="C20" t="str">
            <v>46.0_1920x1080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Relationship Id="rId2" Type="http://schemas.openxmlformats.org/officeDocument/2006/relationships/externalLinkPath" Target="2&#26376;&#20221;&#25968;&#25454;&#25972;&#29702;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651.833047685184" createdVersion="7" refreshedVersion="7" minRefreshableVersion="3" recordCount="1971">
  <cacheSource type="worksheet">
    <worksheetSource ref="A1:I1972" sheet="display area data base-1" r:id="rId2"/>
  </cacheSource>
  <cacheFields count="9">
    <cacheField name="Year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Quarter" numFmtId="0">
      <sharedItems count="9">
        <s v="20Q1"/>
        <s v="20Q2"/>
        <s v="20Q3"/>
        <s v="20Q4"/>
        <s v="21Q1"/>
        <s v="21Q2"/>
        <s v="21Q3"/>
        <s v="21Q4"/>
        <s v="22Q1"/>
      </sharedItems>
    </cacheField>
    <cacheField name="Month" numFmtId="0">
      <sharedItems containsMixedTypes="1" containsNumber="1" minValue="20.010000000000002" maxValue="22.02" count="26">
        <n v="20.010000000000002"/>
        <s v="20.02"/>
        <s v="20.03"/>
        <s v="20.04"/>
        <s v="20.05"/>
        <s v="20.06"/>
        <s v="20.07"/>
        <s v="20.08"/>
        <s v="20.09"/>
        <s v="20.10"/>
        <s v="20.11"/>
        <s v="20.12"/>
        <n v="21.01"/>
        <s v="21.02"/>
        <s v="21.03"/>
        <s v="21.04"/>
        <s v="21.05"/>
        <s v="21.06"/>
        <n v="21.07"/>
        <s v="21.08"/>
        <s v="21.09"/>
        <s v="21.10"/>
        <n v="21.11"/>
        <n v="21.12"/>
        <n v="22.01"/>
        <n v="22.02"/>
      </sharedItems>
    </cacheField>
    <cacheField name="Maker" numFmtId="0">
      <sharedItems count="10">
        <s v="BOE"/>
        <s v="INX"/>
        <s v="AUO"/>
        <s v="CSOT"/>
        <s v="HKC"/>
        <s v="CEC"/>
        <s v="CHOT"/>
        <s v="LGD"/>
        <s v="SDC"/>
        <s v="SHARP"/>
      </sharedItems>
    </cacheField>
    <cacheField name="Size" numFmtId="0">
      <sharedItems containsSemiMixedTypes="0" containsString="0" containsNumber="1" minValue="18.5" maxValue="100" count="40">
        <n v="18.5"/>
        <n v="19.5"/>
        <n v="21.5"/>
        <n v="21.6"/>
        <n v="23.6"/>
        <n v="23.8"/>
        <n v="28"/>
        <n v="32"/>
        <n v="39"/>
        <n v="40"/>
        <n v="41.5"/>
        <n v="43"/>
        <n v="45"/>
        <n v="49"/>
        <n v="50"/>
        <n v="55"/>
        <n v="58"/>
        <n v="60"/>
        <n v="65"/>
        <n v="70"/>
        <n v="75"/>
        <n v="80"/>
        <n v="82"/>
        <n v="85"/>
        <n v="86"/>
        <n v="98"/>
        <n v="100"/>
        <n v="42"/>
        <n v="90"/>
        <n v="26"/>
        <n v="46"/>
        <n v="37"/>
        <n v="39.5"/>
        <n v="48"/>
        <n v="29"/>
        <n v="47"/>
        <n v="79"/>
        <n v="84"/>
        <n v="78"/>
        <n v="52"/>
      </sharedItems>
    </cacheField>
    <cacheField name="Shipment(K)" numFmtId="0">
      <sharedItems containsString="0" containsBlank="1" containsNumber="1" minValue="0" maxValue="1720" count="597">
        <n v="10"/>
        <n v="19"/>
        <n v="8"/>
        <n v="50"/>
        <n v="130"/>
        <n v="260"/>
        <n v="366"/>
        <n v="20"/>
        <n v="100"/>
        <n v="1220"/>
        <n v="230"/>
        <n v="1655"/>
        <n v="680"/>
        <n v="710"/>
        <n v="355"/>
        <n v="780"/>
        <n v="70"/>
        <n v="53"/>
        <n v="1097"/>
        <n v="145"/>
        <n v="45"/>
        <n v="571"/>
        <n v="1330"/>
        <n v="150"/>
        <n v="590"/>
        <n v="420"/>
        <n v="95"/>
        <n v="640"/>
        <n v="0"/>
        <n v="30"/>
        <n v="55"/>
        <n v="340"/>
        <n v="140"/>
        <n v="304"/>
        <n v="375"/>
        <n v="500"/>
        <n v="190"/>
        <n v="578"/>
        <n v="5"/>
        <n v="277"/>
        <n v="510"/>
        <n v="110"/>
        <n v="893"/>
        <m/>
        <n v="480"/>
        <n v="1"/>
        <n v="201"/>
        <n v="600"/>
        <n v="25"/>
        <n v="443"/>
        <n v="32"/>
        <n v="170"/>
        <n v="395"/>
        <n v="35"/>
        <n v="138"/>
        <n v="120"/>
        <n v="66"/>
        <n v="9"/>
        <n v="40"/>
        <n v="2"/>
        <n v="11"/>
        <n v="14"/>
        <n v="24"/>
        <n v="530"/>
        <n v="231"/>
        <n v="75"/>
        <n v="68"/>
        <n v="820"/>
        <n v="180"/>
        <n v="1498"/>
        <n v="1230"/>
        <n v="539"/>
        <n v="400"/>
        <n v="700"/>
        <n v="60"/>
        <n v="21"/>
        <n v="270"/>
        <n v="842"/>
        <n v="153"/>
        <n v="503"/>
        <n v="1130"/>
        <n v="200"/>
        <n v="546"/>
        <n v="580"/>
        <n v="15"/>
        <n v="38"/>
        <n v="320"/>
        <n v="267"/>
        <n v="360"/>
        <n v="484"/>
        <n v="280"/>
        <n v="1070"/>
        <n v="450"/>
        <n v="523"/>
        <n v="80"/>
        <n v="54"/>
        <n v="203"/>
        <n v="620"/>
        <n v="401"/>
        <n v="39"/>
        <n v="210"/>
        <n v="405"/>
        <n v="65"/>
        <n v="125"/>
        <n v="96"/>
        <n v="7"/>
        <n v="56"/>
        <n v="41"/>
        <n v="29"/>
        <n v="90"/>
        <n v="662"/>
        <n v="960"/>
        <n v="1435"/>
        <n v="1315"/>
        <n v="833"/>
        <n v="910"/>
        <n v="1196"/>
        <n v="1370"/>
        <n v="250"/>
        <n v="442"/>
        <n v="314"/>
        <n v="770"/>
        <n v="380"/>
        <n v="370"/>
        <n v="560"/>
        <n v="290"/>
        <n v="703"/>
        <n v="345"/>
        <n v="1118"/>
        <n v="12"/>
        <n v="610"/>
        <n v="537"/>
        <n v="135"/>
        <n v="62"/>
        <n v="235"/>
        <n v="23"/>
        <n v="501"/>
        <n v="43"/>
        <n v="415"/>
        <n v="37"/>
        <n v="155"/>
        <n v="148"/>
        <n v="33"/>
        <n v="3"/>
        <n v="594"/>
        <n v="1050"/>
        <n v="220"/>
        <n v="1102"/>
        <n v="1090"/>
        <n v="925"/>
        <n v="255"/>
        <n v="1041"/>
        <n v="172"/>
        <n v="1040"/>
        <n v="160"/>
        <n v="490"/>
        <n v="164"/>
        <n v="240"/>
        <n v="105"/>
        <n v="300"/>
        <n v="310"/>
        <n v="655"/>
        <n v="550"/>
        <n v="1364"/>
        <n v="440"/>
        <n v="63"/>
        <n v="451"/>
        <n v="285"/>
        <n v="6"/>
        <n v="28"/>
        <n v="0.1"/>
        <n v="47"/>
        <n v="122"/>
        <n v="1223"/>
        <n v="1042"/>
        <n v="988"/>
        <n v="129"/>
        <n v="790"/>
        <n v="1271"/>
        <n v="85"/>
        <n v="1390"/>
        <n v="421"/>
        <n v="251"/>
        <n v="390"/>
        <n v="225"/>
        <n v="350"/>
        <n v="630"/>
        <n v="724"/>
        <n v="313"/>
        <n v="1100"/>
        <n v="74"/>
        <n v="593"/>
        <n v="49"/>
        <n v="204"/>
        <n v="750"/>
        <n v="335"/>
        <n v="46"/>
        <n v="485"/>
        <n v="22"/>
        <n v="4"/>
        <n v="13"/>
        <n v="0.2"/>
        <n v="36"/>
        <n v="0.4"/>
        <n v="275"/>
        <n v="249"/>
        <n v="940"/>
        <n v="1160"/>
        <n v="1039"/>
        <n v="416"/>
        <n v="1002"/>
        <n v="1158"/>
        <n v="670"/>
        <n v="1400"/>
        <n v="430"/>
        <n v="407"/>
        <n v="274"/>
        <n v="525"/>
        <n v="102"/>
        <n v="743"/>
        <n v="1080"/>
        <n v="730"/>
        <n v="455"/>
        <n v="17"/>
        <n v="52"/>
        <n v="1000"/>
        <n v="1079"/>
        <n v="948"/>
        <n v="374"/>
        <n v="990"/>
        <n v="1113"/>
        <n v="61"/>
        <n v="1300"/>
        <n v="425"/>
        <n v="403"/>
        <n v="281"/>
        <n v="315"/>
        <n v="142"/>
        <n v="565"/>
        <n v="898"/>
        <n v="1170"/>
        <n v="540"/>
        <n v="505"/>
        <n v="295"/>
        <n v="26"/>
        <n v="57"/>
        <n v="58"/>
        <n v="0.3"/>
        <n v="1200"/>
        <n v="1030"/>
        <n v="809"/>
        <n v="1085"/>
        <n v="1231"/>
        <n v="1250"/>
        <n v="520"/>
        <n v="322"/>
        <n v="545"/>
        <n v="660"/>
        <n v="1115"/>
        <n v="674"/>
        <n v="675"/>
        <n v="645"/>
        <n v="265"/>
        <n v="168"/>
        <n v="89"/>
        <n v="0.5"/>
        <n v="312"/>
        <n v="559"/>
        <n v="215"/>
        <n v="1045"/>
        <n v="1177"/>
        <n v="762"/>
        <n v="854"/>
        <n v="1156"/>
        <n v="470"/>
        <n v="650"/>
        <n v="536"/>
        <n v="236"/>
        <n v="365"/>
        <n v="81"/>
        <n v="252"/>
        <n v="185"/>
        <n v="195"/>
        <n v="18"/>
        <n v="79"/>
        <n v="358"/>
        <n v="927"/>
        <n v="752"/>
        <n v="760"/>
        <n v="1031"/>
        <n v="712"/>
        <n v="254"/>
        <n v="301"/>
        <n v="684"/>
        <n v="377"/>
        <n v="535"/>
        <n v="1106"/>
        <n v="228"/>
        <n v="587"/>
        <n v="44"/>
        <n v="595"/>
        <n v="359"/>
        <n v="16"/>
        <n v="157"/>
        <n v="27"/>
        <n v="72"/>
        <n v="475"/>
        <n v="944"/>
        <n v="918"/>
        <n v="797"/>
        <n v="543"/>
        <n v="953"/>
        <n v="635"/>
        <n v="643"/>
        <n v="1150"/>
        <n v="297"/>
        <n v="330"/>
        <n v="860"/>
        <n v="269"/>
        <n v="323"/>
        <n v="246"/>
        <n v="720"/>
        <n v="716"/>
        <n v="348"/>
        <n v="1057"/>
        <n v="555"/>
        <n v="199"/>
        <n v="570"/>
        <n v="107"/>
        <n v="392"/>
        <n v="147"/>
        <n v="76"/>
        <n v="552"/>
        <n v="245"/>
        <n v="112"/>
        <n v="912"/>
        <n v="1018"/>
        <n v="1272"/>
        <n v="311"/>
        <n v="689"/>
        <n v="1067"/>
        <n v="205"/>
        <n v="165"/>
        <n v="198"/>
        <n v="585"/>
        <n v="446"/>
        <n v="435"/>
        <n v="616"/>
        <n v="1237"/>
        <n v="718"/>
        <n v="1092"/>
        <n v="586"/>
        <n v="1570"/>
        <n v="980"/>
        <n v="219"/>
        <n v="448"/>
        <n v="248"/>
        <n v="287"/>
        <n v="607"/>
        <n v="368"/>
        <n v="1167"/>
        <n v="73"/>
        <n v="177"/>
        <n v="92"/>
        <n v="31"/>
        <n v="87"/>
        <n v="439"/>
        <n v="111"/>
        <n v="1129"/>
        <n v="1350"/>
        <n v="744"/>
        <n v="996"/>
        <n v="1420"/>
        <n v="208"/>
        <n v="765"/>
        <n v="385"/>
        <n v="247"/>
        <n v="291"/>
        <n v="1060"/>
        <n v="116"/>
        <n v="149"/>
        <n v="575"/>
        <n v="51"/>
        <n v="108"/>
        <n v="71"/>
        <n v="163"/>
        <n v="1240"/>
        <n v="1248"/>
        <n v="845"/>
        <n v="234"/>
        <n v="562"/>
        <n v="1520"/>
        <n v="441"/>
        <n v="259"/>
        <n v="253"/>
        <n v="749"/>
        <n v="452"/>
        <n v="625"/>
        <n v="319"/>
        <n v="1270"/>
        <n v="381"/>
        <n v="729"/>
        <n v="695"/>
        <n v="608"/>
        <n v="151"/>
        <n v="396"/>
        <n v="186"/>
        <n v="88"/>
        <n v="1455"/>
        <n v="1140"/>
        <n v="673"/>
        <n v="422"/>
        <n v="306"/>
        <n v="603"/>
        <n v="223"/>
        <n v="266"/>
        <n v="424"/>
        <n v="91"/>
        <n v="226"/>
        <n v="664"/>
        <n v="676"/>
        <n v="981"/>
        <n v="34"/>
        <n v="755"/>
        <n v="774"/>
        <n v="209"/>
        <n v="222"/>
        <n v="1071"/>
        <n v="412"/>
        <n v="356"/>
        <n v="846"/>
        <n v="227"/>
        <n v="489"/>
        <n v="146"/>
        <n v="740"/>
        <n v="325"/>
        <n v="690"/>
        <n v="1154"/>
        <n v="410"/>
        <n v="727"/>
        <n v="775"/>
        <n v="691"/>
        <n v="244"/>
        <n v="99"/>
        <n v="121"/>
        <n v="1255"/>
        <n v="1260"/>
        <n v="282"/>
        <n v="1046"/>
        <n v="602"/>
        <n v="318"/>
        <n v="612"/>
        <n v="175"/>
        <n v="1238"/>
        <n v="159"/>
        <n v="800"/>
        <n v="665"/>
        <n v="141"/>
        <n v="202"/>
        <n v="183"/>
        <n v="98"/>
        <n v="1243"/>
        <n v="764"/>
        <n v="341"/>
        <n v="993"/>
        <n v="573"/>
        <n v="1180"/>
        <n v="238"/>
        <n v="262"/>
        <n v="619"/>
        <n v="162"/>
        <n v="1207"/>
        <n v="584"/>
        <n v="77"/>
        <n v="167"/>
        <n v="661"/>
        <n v="166"/>
        <n v="101"/>
        <n v="279"/>
        <n v="113"/>
        <n v="950"/>
        <n v="911"/>
        <n v="769"/>
        <n v="874"/>
        <n v="217"/>
        <n v="606"/>
        <n v="207"/>
        <n v="307"/>
        <n v="1269"/>
        <n v="237"/>
        <n v="193"/>
        <n v="118"/>
        <n v="241"/>
        <n v="188"/>
        <n v="1690"/>
        <n v="900"/>
        <n v="672"/>
        <n v="431"/>
        <n v="889"/>
        <n v="399"/>
        <n v="1369"/>
        <n v="783"/>
        <n v="271"/>
        <n v="284"/>
        <n v="460"/>
        <n v="622"/>
        <n v="218"/>
        <n v="303"/>
        <n v="651"/>
        <n v="1145"/>
        <n v="143"/>
        <n v="42"/>
        <n v="463"/>
        <n v="182"/>
        <n v="94"/>
        <n v="48"/>
        <n v="1633"/>
        <n v="351"/>
        <n v="1082"/>
        <n v="363"/>
        <n v="923"/>
        <n v="1490"/>
        <n v="605"/>
        <n v="636"/>
        <n v="386"/>
        <n v="133"/>
        <n v="103"/>
        <n v="1.9999999999999998"/>
        <n v="805"/>
        <n v="197"/>
        <n v="1581"/>
        <n v="321"/>
        <n v="1212"/>
        <n v="1302"/>
        <n v="187"/>
        <n v="604"/>
        <n v="1471"/>
        <n v="850"/>
        <n v="361"/>
        <n v="189"/>
        <n v="986"/>
        <n v="459"/>
        <n v="131"/>
        <n v="569"/>
        <n v="791"/>
        <n v="123"/>
        <n v="97"/>
        <n v="117"/>
        <n v="1661"/>
        <n v="1451"/>
        <n v="1380"/>
        <n v="955"/>
        <n v="346"/>
        <n v="1510"/>
        <n v="221"/>
        <n v="951"/>
        <n v="352"/>
        <n v="171"/>
        <n v="626"/>
        <n v="681"/>
        <n v="115"/>
        <n v="830"/>
        <n v="82"/>
        <n v="1720"/>
        <n v="1445"/>
        <n v="1381"/>
        <n v="793"/>
        <n v="566"/>
        <n v="308"/>
        <n v="617"/>
        <n v="388"/>
        <n v="211"/>
        <n v="309"/>
        <n v="93"/>
        <n v="1673"/>
        <n v="402"/>
        <n v="1607"/>
        <n v="1456"/>
        <n v="683"/>
        <n v="668"/>
        <n v="1689"/>
        <n v="342"/>
        <n v="899"/>
        <n v="292"/>
        <n v="191"/>
        <n v="801"/>
        <n v="579"/>
        <n v="516"/>
        <n v="978"/>
        <n v="457"/>
        <n v="542"/>
        <n v="134"/>
        <n v="704"/>
        <n v="169"/>
        <n v="299"/>
        <n v="344"/>
        <n v="84"/>
      </sharedItems>
    </cacheField>
    <cacheField name="Display area(K m2 )" numFmtId="0">
      <sharedItems containsSemiMixedTypes="0" containsString="0" containsNumber="1" minValue="0" maxValue="1137.4695351454004" count="1289">
        <n v="0.94350342551928779"/>
        <n v="1.7926565084866468"/>
        <n v="0.83860845008902074"/>
        <n v="1.274315437388724"/>
        <n v="6.3715771869436191"/>
        <n v="19.960314630836795"/>
        <n v="39.920629261673589"/>
        <n v="56.195962729894362"/>
        <n v="7.8077148334718114"/>
        <n v="4.322610288427299"/>
        <n v="28.229291679525222"/>
        <n v="344.39735849020769"/>
        <n v="64.927370862908006"/>
        <n v="467.19477729614238"/>
        <n v="191.9591834207715"/>
        <n v="200.42797092462905"/>
        <n v="100.21398546231453"/>
        <n v="220.18847510029673"/>
        <n v="19.760504175667656"/>
        <n v="22.223123927359051"/>
        <n v="109.01909851157269"/>
        <n v="483.86770269436198"/>
        <n v="63.956988961424329"/>
        <n v="8.8216536498516316"/>
        <n v="21.365287029080118"/>
        <n v="291.05364589958452"/>
        <n v="677.93581269080107"/>
        <n v="76.458926243323432"/>
        <n v="300.73844322373884"/>
        <n v="214.08499348130562"/>
        <n v="48.423986620771508"/>
        <n v="326.22475197151334"/>
        <n v="0"/>
        <n v="19.856991012462906"/>
        <n v="36.404483522848665"/>
        <n v="225.04589814124628"/>
        <n v="92.665958058160228"/>
        <n v="209.51427418397626"/>
        <n v="258.44688427299701"/>
        <n v="344.59584569732937"/>
        <n v="130.94642136498516"/>
        <n v="398.35279762611276"/>
        <n v="3.4459584569732939"/>
        <n v="230.99637920474774"/>
        <n v="425.30019275964383"/>
        <n v="91.731414124629069"/>
        <n v="744.69229830267045"/>
        <n v="400.28253436201771"/>
        <n v="46.368816997032638"/>
        <n v="139.10645099109792"/>
        <n v="0.92737633994065272"/>
        <n v="49.621801780415424"/>
        <n v="234.11152564985161"/>
        <n v="698.84037507418384"/>
        <n v="29.118348961424328"/>
        <n v="515.97714359643908"/>
        <n v="37.27148667062314"/>
        <n v="198.00477293768543"/>
        <n v="460.06991359050437"/>
        <n v="47.278550029673589"/>
        <n v="94.557100059347178"/>
        <n v="186.41256868842731"/>
        <n v="46.520439169139465"/>
        <n v="186.08175667655786"/>
        <n v="102.34496617210682"/>
        <n v="13.956131750741839"/>
        <n v="62.027252225519291"/>
        <n v="155.06813056379823"/>
        <n v="3.5286614599406527"/>
        <n v="14.829199785400592"/>
        <n v="1.853649973175074"/>
        <n v="37.072999463501482"/>
        <n v="63.736447620178033"/>
        <n v="9.9588199406528179"/>
        <n v="1.9917639881305635"/>
        <n v="50.972617495548953"/>
        <n v="5.2951976033234418"/>
        <n v="2.756766765578635"/>
        <n v="0.18870068510385757"/>
        <n v="1.1530866188724036"/>
        <n v="1.7840416123442133"/>
        <n v="3.06"/>
        <n v="21.495723448593473"/>
        <n v="81.376667341103854"/>
        <n v="35.467943690179226"/>
        <n v="18.738515600332349"/>
        <n v="16.209788581602371"/>
        <n v="19.19591834207715"/>
        <n v="231.48019177210679"/>
        <n v="50.812725023145397"/>
        <n v="422.87478935928777"/>
        <n v="347.2202876581602"/>
        <n v="152.15588215264094"/>
        <n v="112.91716671810089"/>
        <n v="197.60504175667654"/>
        <n v="16.937575007715132"/>
        <n v="8.8053887259347174"/>
        <n v="113.2121407620178"/>
        <n v="371.39161865875371"/>
        <n v="67.48565042136498"/>
        <n v="14.243524686053414"/>
        <n v="256.39226600261122"/>
        <n v="575.99057769970318"/>
        <n v="101.94523499109791"/>
        <n v="278.31049152569727"/>
        <n v="244.66856397863498"/>
        <n v="86.653449742433224"/>
        <n v="295.64118147418395"/>
        <n v="8.3736790504451033"/>
        <n v="25.152188615786347"/>
        <n v="211.80790413293767"/>
        <n v="125.76094307893175"/>
        <n v="184.0141816023739"/>
        <n v="248.10900890207714"/>
        <n v="330.81201186943622"/>
        <n v="137.83833827893176"/>
        <n v="333.56877863501484"/>
        <n v="233.49814504451035"/>
        <n v="441.97863169139458"/>
        <n v="125.08829198813054"/>
        <n v="892.29648284866448"/>
        <n v="375.26487596439159"/>
        <n v="436.14117806528179"/>
        <n v="74.19010719525221"/>
        <n v="120.55892419228485"/>
        <n v="7.4190107195252217"/>
        <n v="50.078322356795248"/>
        <n v="54.583981958456967"/>
        <n v="236.44099356676554"/>
        <n v="722.13505424332334"/>
        <n v="23.294679169139464"/>
        <n v="467.05831734124621"/>
        <n v="45.42462437982195"/>
        <n v="244.59413127596437"/>
        <n v="471.71725317507412"/>
        <n v="40.524471454005933"/>
        <n v="87.80302148367953"/>
        <n v="168.85196439169138"/>
        <n v="37.216351335311572"/>
        <n v="201.58856973293769"/>
        <n v="148.86540534124629"/>
        <n v="10.854769139465876"/>
        <n v="86.83815311572701"/>
        <n v="147.31472403560832"/>
        <n v="1.7643307299703264"/>
        <n v="16.682849758575667"/>
        <n v="3.7072999463501479"/>
        <n v="81.662323513353101"/>
        <n v="13.942347916913945"/>
        <n v="71.361664493768544"/>
        <n v="2.7361599340059346"/>
        <n v="1.4675647876557862"/>
        <n v="3.82"/>
        <n v="13.818679359810089"/>
        <n v="23.031132266350149"/>
        <n v="101.644063735492"/>
        <n v="42.161660100747781"/>
        <n v="15.129136009495548"/>
        <n v="36.698079183382788"/>
        <n v="271.00120012344212"/>
        <n v="42.343937519287827"/>
        <n v="405.09033560118689"/>
        <n v="371.21518558575667"/>
        <n v="235.14999969044507"/>
        <n v="127.03181255786349"/>
        <n v="256.88655428367952"/>
        <n v="14.114645839762611"/>
        <n v="23.06173237744807"/>
        <n v="134.17735201424333"/>
        <n v="527.53488826112755"/>
        <n v="83.805709673590499"/>
        <n v="23.73920781008902"/>
        <n v="305.83570497329373"/>
        <n v="698.32485968902074"/>
        <n v="127.43154373887239"/>
        <n v="225.29896933032637"/>
        <n v="183.50142298397623"/>
        <n v="160.05401893602371"/>
        <n v="392.48915471572695"/>
        <n v="5.5824527002967352"/>
        <n v="23.166489514540057"/>
        <n v="251.52188615786349"/>
        <n v="132.37994008308604"/>
        <n v="255.00092581602374"/>
        <n v="385.94734718100892"/>
        <n v="199.86559050445103"/>
        <n v="484.50175905044512"/>
        <n v="287.70307157270025"/>
        <n v="517.03160688427295"/>
        <n v="932.32473628486628"/>
        <n v="10.007063359050443"/>
        <n v="508.69238741839752"/>
        <n v="447.81608531750732"/>
        <n v="111.28516079287833"/>
        <n v="125.19580589198812"/>
        <n v="57.497333076320466"/>
        <n v="59.546162136498509"/>
        <n v="273.71248023738866"/>
        <n v="26.788881044510383"/>
        <n v="583.53171318694353"/>
        <n v="50.083560213649847"/>
        <n v="232.94679169139462"/>
        <n v="483.36459275964387"/>
        <n v="49.980181459940653"/>
        <n v="81.048942908011867"/>
        <n v="135.08157151335311"/>
        <n v="83.736790504451037"/>
        <n v="240.35560237388725"/>
        <n v="229.50083323442138"/>
        <n v="21.709538278931753"/>
        <n v="108.54769139465876"/>
        <n v="55.609499195252219"/>
        <n v="89.62937946587536"/>
        <n v="47.802335715133523"/>
        <n v="67.283855094124618"/>
        <n v="7.9427964049851632"/>
        <n v="1.320904795727003"/>
        <n v="7.65"/>
        <n v="14.586383768688428"/>
        <n v="30.708176355133531"/>
        <n v="91.203283774746595"/>
        <n v="17.176972633637984"/>
        <n v="0.21613051442136497"/>
        <n v="296.40756263501481"/>
        <n v="62.104441694955483"/>
        <n v="311.08679430836793"/>
        <n v="307.69927930682491"/>
        <n v="261.12094803560831"/>
        <n v="71.984693782789307"/>
        <n v="111.50570213412462"/>
        <n v="8.4687875038575662"/>
        <n v="6.2895633756676554"/>
        <n v="58.70259150623145"/>
        <n v="459.16707247477746"/>
        <n v="75.866221388724028"/>
        <n v="28.487049372106828"/>
        <n v="530.11522195370912"/>
        <n v="81.556187992878336"/>
        <n v="249.76582572818987"/>
        <n v="83.595092692700291"/>
        <n v="16.747358100890207"/>
        <n v="12.576094307893174"/>
        <n v="16.547492510385755"/>
        <n v="158.85592809970325"/>
        <n v="69.499468543620168"/>
        <n v="206.75750741839764"/>
        <n v="365.27159643916912"/>
        <n v="213.64942433234421"/>
        <n v="451.42055786350147"/>
        <n v="250.17658397626107"/>
        <n v="458.65707062314533"/>
        <n v="108.4098530563798"/>
        <n v="1137.4695351454004"/>
        <n v="20.848048664688424"/>
        <n v="366.92565649851628"/>
        <n v="266.85502290801185"/>
        <n v="64.916343795845691"/>
        <n v="37.095053597626105"/>
        <n v="58.424709416261123"/>
        <n v="109.16796391691393"/>
        <n v="279.53615002967354"/>
        <n v="524.13028130563794"/>
        <n v="11.647339584569732"/>
        <n v="525.2950152640949"/>
        <n v="52.413028130563788"/>
        <n v="163.06275418397624"/>
        <n v="331.94917816023735"/>
        <n v="27.016314302670622"/>
        <n v="67.540785756676556"/>
        <n v="162.09788581602373"/>
        <n v="93.04087833827893"/>
        <n v="224.84878931750742"/>
        <n v="51.172483086053411"/>
        <n v="77.534065281899117"/>
        <n v="124.05450445103858"/>
        <n v="11.121899839050444"/>
        <n v="79.670559525222544"/>
        <n v="23.901167857566762"/>
        <n v="57.089331595014826"/>
        <n v="0.27567667655786349"/>
        <n v="5.99"/>
        <n v="24.566541084106824"/>
        <n v="78.305849705590504"/>
        <n v="46.846289000830865"/>
        <n v="17.290441153709196"/>
        <n v="34.439735849020771"/>
        <n v="318.990995978635"/>
        <n v="70.573229198813053"/>
        <n v="345.24423724059346"/>
        <n v="294.14921930065282"/>
        <n v="278.90540179370919"/>
        <n v="36.415786266587531"/>
        <n v="223.01140426824924"/>
        <n v="8.3860845008902078"/>
        <n v="205.45907027181008"/>
        <n v="560.61608944807119"/>
        <n v="37.492028011869436"/>
        <n v="47.478415620178041"/>
        <n v="708.51938318813052"/>
        <n v="173.30689948486645"/>
        <n v="214.59471965626111"/>
        <n v="203.89046998219581"/>
        <n v="127.94126991382788"/>
        <n v="198.79320823264092"/>
        <n v="13.237994008308604"/>
        <n v="148.92743259347179"/>
        <n v="72.808967045697329"/>
        <n v="244.66305044510386"/>
        <n v="241.21709198813056"/>
        <n v="434.19076557863502"/>
        <n v="498.97478456973295"/>
        <n v="261.01756928189906"/>
        <n v="83.392194658753695"/>
        <n v="917.31414124629066"/>
        <n v="61.71022404747773"/>
        <n v="283.53346183976254"/>
        <n v="494.51571432640941"/>
        <n v="143.74333269080117"/>
        <n v="45.441440657091981"/>
        <n v="104.2057837388724"/>
        <n v="237.60572752522253"/>
        <n v="873.55046884272986"/>
        <n v="390.18587608308599"/>
        <n v="53.577762089020766"/>
        <n v="110.64972605341245"/>
        <n v="564.895969851632"/>
        <n v="29.717945732937686"/>
        <n v="148.58972866468844"/>
        <n v="9.304087833827893"/>
        <n v="7.4145998927002958"/>
        <n v="64.877749061127588"/>
        <n v="99.588199406528176"/>
        <n v="25.892931845697326"/>
        <n v="0.39835279762611275"/>
        <n v="73.400569193590499"/>
        <n v="2.6475988016617209"/>
        <n v="1.1027067062314539"/>
        <n v="1.0378537680712165"/>
        <n v="0.76458926243323433"/>
        <n v="6.75"/>
        <n v="10.747861724296737"/>
        <n v="42.223742488308609"/>
        <n v="38.231679562141245"/>
        <n v="54.654003834302678"/>
        <n v="18.371093725816021"/>
        <n v="40.932472935311573"/>
        <n v="265.35534178753704"/>
        <n v="302.05342097091983"/>
        <n v="327.45978348249258"/>
        <n v="293.30234055026705"/>
        <n v="117.43385338682492"/>
        <n v="282.85750262884272"/>
        <n v="47.989795855192874"/>
        <n v="12.579126751335311"/>
        <n v="510.77374632640948"/>
        <n v="2.2054134124629079"/>
        <n v="80.713306554302676"/>
        <n v="341.51653722017801"/>
        <n v="713.61664493768535"/>
        <n v="152.91785248664686"/>
        <n v="219.18225523086051"/>
        <n v="207.45855320688426"/>
        <n v="139.66497193780413"/>
        <n v="267.60624185163203"/>
        <n v="2.7912263501483676"/>
        <n v="15.223693109554896"/>
        <n v="178.71291911216616"/>
        <n v="67.513769442373885"/>
        <n v="234.32517507418396"/>
        <n v="516.89376854599402"/>
        <n v="461.75843323442137"/>
        <n v="512.06942670623141"/>
        <n v="500.35316795252214"/>
        <n v="62.544145994065268"/>
        <n v="900.63570231453991"/>
        <n v="58.374536261127588"/>
        <n v="608.763021008902"/>
        <n v="102.0113973934718"/>
        <n v="185.47526798813055"/>
        <n v="51.933075036676556"/>
        <n v="89.319243204747764"/>
        <n v="780.37175216617197"/>
        <n v="454.24624379821955"/>
        <n v="73.378239382789303"/>
        <n v="529.95395109792275"/>
        <n v="139.76807501483677"/>
        <n v="54.032628605341245"/>
        <n v="121.5734143620178"/>
        <n v="44.969757863501485"/>
        <n v="294.62944807121664"/>
        <n v="193.83516320474777"/>
        <n v="15.506813056379823"/>
        <n v="85.287471810089016"/>
        <n v="232.60219584569734"/>
        <n v="31.512049543976257"/>
        <n v="74.145998927002964"/>
        <n v="103.57172738278931"/>
        <n v="0.79670559525222551"/>
        <n v="91.750711491988113"/>
        <n v="0.55135335311572697"/>
        <n v="0.84915308296735903"/>
        <n v="6.37"/>
        <n v="49.133082168213647"/>
        <n v="49.969374934219594"/>
        <n v="29.64075626350148"/>
        <n v="282.29291679525221"/>
        <n v="56.458583359050444"/>
        <n v="310.52220847477741"/>
        <n v="304.59405722207714"/>
        <n v="267.6136851218991"/>
        <n v="105.57755088142433"/>
        <n v="279.4699876272997"/>
        <n v="39.521008351335311"/>
        <n v="2.096521125222552"/>
        <n v="142.56343651513353"/>
        <n v="490.92502561424328"/>
        <n v="26.906043632047478"/>
        <n v="4.4108268249258158"/>
        <n v="175.67013779465876"/>
        <n v="662.64402744213646"/>
        <n v="112.1397584902077"/>
        <n v="216.63362435608306"/>
        <n v="205.41964850706228"/>
        <n v="143.23305516249258"/>
        <n v="147.82059073709198"/>
        <n v="0.5582452700296735"/>
        <n v="6.618997004154302"/>
        <n v="208.49840563086053"/>
        <n v="93.989757458991093"/>
        <n v="389.39330563798217"/>
        <n v="618.89413887240357"/>
        <n v="291.87268130563791"/>
        <n v="33.356877863501481"/>
        <n v="975.68867750741822"/>
        <n v="150.10595038575664"/>
        <n v="450.31785115726996"/>
        <n v="525.37082635014826"/>
        <n v="194.74903138753706"/>
        <n v="35.240300917744804"/>
        <n v="733.78239382789309"/>
        <n v="1.1647339584569731"/>
        <n v="436.77523442136493"/>
        <n v="186.35743335311571"/>
        <n v="588.19064902077139"/>
        <n v="398.49063596439169"/>
        <n v="40.317713946587538"/>
        <n v="403.17713946587537"/>
        <n v="209.3419762611276"/>
        <n v="88.38883442136499"/>
        <n v="279.12263501483682"/>
        <n v="42.633949383026703"/>
        <n v="46.341249329376851"/>
        <n v="115.52231131157268"/>
        <n v="27.884695833827891"/>
        <n v="0.59752919643916902"/>
        <n v="132.52880548842728"/>
        <n v="1.0194523499109791"/>
        <n v="1.4"/>
        <n v="52.203899803727005"/>
        <n v="74.313786779423154"/>
        <n v="338.75150015430262"/>
        <n v="290.76170429910979"/>
        <n v="228.37496968735903"/>
        <n v="84.687875038575655"/>
        <n v="306.28781472284862"/>
        <n v="45.166866687240351"/>
        <n v="146.75647876557863"/>
        <n v="542.97278214836797"/>
        <n v="13.232480474777448"/>
        <n v="237.39207810089022"/>
        <n v="637.15771869436196"/>
        <n v="119.78565111454004"/>
        <n v="265.05761097685456"/>
        <n v="201.34183910741837"/>
        <n v="22.329810801186941"/>
        <n v="213.13170353376853"/>
        <n v="80.751763450682489"/>
        <n v="196.41963204747773"/>
        <n v="375.60947181008902"/>
        <n v="454.86651632047477"/>
        <n v="275.67667655786352"/>
        <n v="489.32610089020773"/>
        <n v="483.67472902077139"/>
        <n v="37.526487596439161"/>
        <n v="929.82297044510369"/>
        <n v="183.46282824925814"/>
        <n v="562.06339199999991"/>
        <n v="562.89731394658747"/>
        <n v="166.92774118931749"/>
        <n v="39.877182617448064"/>
        <n v="99.243603560830849"/>
        <n v="221.2994521068249"/>
        <n v="751.25340320474766"/>
        <n v="489.18826255192874"/>
        <n v="62.895633756676553"/>
        <n v="168.88642397626111"/>
        <n v="512.48294172106819"/>
        <n v="74.294864332344218"/>
        <n v="357.96616451038574"/>
        <n v="35.665670029673592"/>
        <n v="558.24527002967363"/>
        <n v="260.514459347181"/>
        <n v="0.35286614599406529"/>
        <n v="40.780299409851629"/>
        <n v="147.39053512166171"/>
        <n v="55.769391667655782"/>
        <n v="181.46251828415427"/>
        <n v="1.3783833827893175"/>
        <n v="1.4152551382789318"/>
        <n v="0.12743154373887239"/>
        <n v="1.53"/>
        <n v="47.90475511400831"/>
        <n v="85.829352912598225"/>
        <n v="60.692977110979221"/>
        <n v="294.99609805103853"/>
        <n v="332.25876306801183"/>
        <n v="215.10720259798217"/>
        <n v="87.510804206528178"/>
        <n v="241.07815094314537"/>
        <n v="167.72169001780415"/>
        <n v="509.89158096142432"/>
        <n v="223.14855341483681"/>
        <n v="331.32201372106823"/>
        <n v="273.21322977614238"/>
        <n v="120.29537728949553"/>
        <n v="186.0500538587537"/>
        <n v="3.309498502077151"/>
        <n v="185.33191611632046"/>
        <n v="53.613875733649849"/>
        <n v="173.67630623145399"/>
        <n v="468.65035014836792"/>
        <n v="525.16406884272999"/>
        <n v="316.89033970326403"/>
        <n v="492.01394848664677"/>
        <n v="25.017658397626107"/>
        <n v="942.33179964391672"/>
        <n v="154.27556011869433"/>
        <n v="3.3356877863501477"/>
        <n v="537.8796555489613"/>
        <n v="558.72770421364976"/>
        <n v="27.821290198219582"/>
        <n v="36.167677257685455"/>
        <n v="94.281423382789313"/>
        <n v="227.12312189910978"/>
        <n v="757.07707299703259"/>
        <n v="69.884037507418384"/>
        <n v="180.53376356083083"/>
        <n v="605.66165839762607"/>
        <n v="314.47816878338273"/>
        <n v="128.32749293768546"/>
        <n v="351.21208593471812"/>
        <n v="27.912263501483679"/>
        <n v="534.98505044510387"/>
        <n v="263.61582195845699"/>
        <n v="31.013626112759646"/>
        <n v="69.780658753709204"/>
        <n v="157.34935506231452"/>
        <n v="65.728211608308598"/>
        <n v="193.69594648308603"/>
        <n v="2.8"/>
        <n v="16.889496995323441"/>
        <n v="54.967635675689024"/>
        <n v="77.231063533160835"/>
        <n v="10.806525721068247"/>
        <n v="375.44957933768541"/>
        <n v="261.68553386919876"/>
        <n v="212.28427343002966"/>
        <n v="214.54261676439168"/>
        <n v="155.14256326646884"/>
        <n v="454.75624564985162"/>
        <n v="256.38344434896146"/>
        <n v="285.44665797507417"/>
        <n v="611.67140994658746"/>
        <n v="150.36922161186942"/>
        <n v="362.92503656830854"/>
        <n v="129.47044843869435"/>
        <n v="30.703489851632042"/>
        <n v="9.928495506231453"/>
        <n v="9.2665958058160225"/>
        <n v="199.23180982504451"/>
        <n v="66.18997004154302"/>
        <n v="482.43418397626112"/>
        <n v="471.4071169139466"/>
        <n v="314.38857386350145"/>
        <n v="446.14824142433224"/>
        <n v="41.696097329376848"/>
        <n v="922.31767292581583"/>
        <n v="190.13420382195841"/>
        <n v="5.0035316795252216"/>
        <n v="533.71004581602369"/>
        <n v="489.51218264688418"/>
        <n v="32.458171897922846"/>
        <n v="40.804558957388721"/>
        <n v="183.60066658753706"/>
        <n v="693.01670528189902"/>
        <n v="418.13949108605334"/>
        <n v="326.12550836795248"/>
        <n v="101.31117863501484"/>
        <n v="310.68761448071217"/>
        <n v="24.810900890207716"/>
        <n v="414.03190860534124"/>
        <n v="243.45696498516321"/>
        <n v="41.868395252225518"/>
        <n v="23.260219584569732"/>
        <n v="22.243799678100888"/>
        <n v="5.5609499195252221"/>
        <n v="119.50583928783381"/>
        <n v="73.695267560830857"/>
        <n v="146.801138387181"/>
        <n v="9.4350342551928784E-2"/>
        <n v="0.38229463121661716"/>
        <n v="3.31"/>
        <n v="7.6770440887833828"/>
        <n v="58.345535074753712"/>
        <n v="72.931918843442133"/>
        <n v="12.967830865281899"/>
        <n v="25.406362511572699"/>
        <n v="352.86614599406528"/>
        <n v="266.48451345471807"/>
        <n v="259.14489761804151"/>
        <n v="224.987454685816"/>
        <n v="80.453481286646877"/>
        <n v="153.28505381982194"/>
        <n v="157.23908439169139"/>
        <n v="420.35179641543027"/>
        <n v="11.02706706231454"/>
        <n v="301.48793918813055"/>
        <n v="327.75393049637978"/>
        <n v="586.18510119881296"/>
        <n v="151.3886739617804"/>
        <n v="168.20963773531156"/>
        <n v="438.36451046172101"/>
        <n v="137.11634106302668"/>
        <n v="164.64155451062314"/>
        <n v="31.819980391691388"/>
        <n v="0.66189970041543023"/>
        <n v="218.42690113709199"/>
        <n v="43.023480527002967"/>
        <n v="169.54115608308607"/>
        <n v="310.13626112759641"/>
        <n v="496.21801780415427"/>
        <n v="251.55496735905044"/>
        <n v="493.46125103857565"/>
        <n v="290.20483741246284"/>
        <n v="416.96097329376846"/>
        <n v="881.45549754302658"/>
        <n v="225.15892557863498"/>
        <n v="6.6713755727002955"/>
        <n v="496.18355821958448"/>
        <n v="462.82668035608299"/>
        <n v="148.38021439050442"/>
        <n v="41.731935297329372"/>
        <n v="18.547526798813053"/>
        <n v="168.71412605341246"/>
        <n v="231.78205773293766"/>
        <n v="663.8983563204747"/>
        <n v="65.225101673590501"/>
        <n v="124.62653355489613"/>
        <n v="456.57571171513348"/>
        <n v="349.42018753709192"/>
        <n v="60.7867071810089"/>
        <n v="303.93353590504449"/>
        <n v="18.608175667655786"/>
        <n v="325.6430741839763"/>
        <n v="227.95015192878338"/>
        <n v="29.462944807121662"/>
        <n v="170.57494362017803"/>
        <n v="18.536499731750741"/>
        <n v="131.4564232166172"/>
        <n v="6.1167140994658746"/>
        <n v="154.95675718646882"/>
        <n v="15.885592809970326"/>
        <n v="1.6983061659347181"/>
        <n v="4.59"/>
        <n v="53.73930862148368"/>
        <n v="84.754566740168542"/>
        <n v="38.257802684011878"/>
        <n v="8.645220576854598"/>
        <n v="31.616806681068248"/>
        <n v="304.8763501388724"/>
        <n v="257.45114011727003"/>
        <n v="324.63685431454002"/>
        <n v="287.37418929756672"/>
        <n v="33.875150015430265"/>
        <n v="561.0571721305638"/>
        <n v="6.6162402373887241"/>
        <n v="289.34472618160237"/>
        <n v="321.1274902219584"/>
        <n v="122.33428198931749"/>
        <n v="158.52484041115724"/>
        <n v="489.33712795726996"/>
        <n v="163.11237598575667"/>
        <n v="178.40416123442134"/>
        <n v="198.56991012462908"/>
        <n v="95.975456560237376"/>
        <n v="296.35242729970327"/>
        <n v="474.8530753709199"/>
        <n v="308.55112023738866"/>
        <n v="889.7947170089019"/>
        <n v="158.44516985163202"/>
        <n v="190.11214968783381"/>
        <n v="15.765397778991096"/>
        <n v="163.75194587537089"/>
        <n v="230.6173237744807"/>
        <n v="681.36936569732927"/>
        <n v="519.47134547180997"/>
        <n v="76.872441258160222"/>
        <n v="128.12073543026705"/>
        <n v="506.65927192878331"/>
        <n v="308.65449899109791"/>
        <n v="108.06525721068249"/>
        <n v="364.72024308605342"/>
        <n v="213.99402017804155"/>
        <n v="20.158856973293769"/>
        <n v="38.767032640949559"/>
        <n v="20.390149704925815"/>
        <n v="68.585049007477735"/>
        <n v="45.810571727002959"/>
        <n v="3.9835279762611271"/>
        <n v="8.1556187992878328"/>
        <n v="142.72332898753709"/>
        <n v="1.8870068510385756"/>
        <n v="5.48"/>
        <n v="12.283270542053412"/>
        <n v="46.062264532700297"/>
        <n v="94.581183173811283"/>
        <n v="14.048483437388724"/>
        <n v="18.349039591691394"/>
        <n v="349.196338075727"/>
        <n v="202.68631425899108"/>
        <n v="77.630552118694354"/>
        <n v="2.8229291679525219"/>
        <n v="481.66228928189912"/>
        <n v="313.65940905400589"/>
        <n v="298.69953852391689"/>
        <n v="800.27009468011863"/>
        <n v="499.53165145637973"/>
        <n v="111.63003231525221"/>
        <n v="228.35732638005931"/>
        <n v="1.116490540059347"/>
        <n v="164.15112570302671"/>
        <n v="197.79801543026707"/>
        <n v="418.33935667655788"/>
        <n v="306.88327634421358"/>
        <n v="973.18691166765564"/>
        <n v="166.78438931750739"/>
        <n v="17.512360878338274"/>
        <n v="437.80902195845687"/>
        <n v="129.83268759169138"/>
        <n v="157.65397778991095"/>
        <n v="14.838021439050443"/>
        <n v="129.01668462908012"/>
        <n v="792.01909175074172"/>
        <n v="609.15586027299696"/>
        <n v="75.707707299703259"/>
        <n v="151.41541459940652"/>
        <n v="85.025578967359039"/>
        <n v="372.71486670623142"/>
        <n v="249.90090729970328"/>
        <n v="449.69757863501485"/>
        <n v="274.47059109792286"/>
        <n v="32.564307418397625"/>
        <n v="49.621801780415431"/>
        <n v="142.66268011869437"/>
        <n v="9.2682498658753705"/>
        <n v="129.46465922848662"/>
        <n v="61.744683632047469"/>
        <n v="7.9670559525222542"/>
        <n v="177.38470888451036"/>
        <n v="21.180790413293767"/>
        <n v="3.6955147684272993"/>
        <n v="4.6062264532700299"/>
        <n v="67.404447099518109"/>
        <n v="31.334513764272995"/>
        <n v="366.98079183382788"/>
        <n v="63.515906278931745"/>
        <n v="318.70870306183974"/>
        <n v="381.09543767359048"/>
        <n v="210.02593009566763"/>
        <n v="31.052220847477741"/>
        <n v="150.94952101602374"/>
        <n v="439.31835176261126"/>
        <n v="4.8519095074183971"/>
        <n v="192.08599469198811"/>
        <n v="723.81116843679513"/>
        <n v="106.02304439074183"/>
        <n v="389.94052384094948"/>
        <n v="94.299342366765572"/>
        <n v="196.24457735786348"/>
        <n v="152.23693109554895"/>
        <n v="170.23034777448072"/>
        <n v="242.67128645697323"/>
        <n v="567.06692367952508"/>
        <n v="883.95726338278917"/>
        <n v="179.29321851632045"/>
        <n v="120.91868225519285"/>
        <n v="6.4916343795845695"/>
        <n v="115.12258013056379"/>
        <n v="173.545359810089"/>
        <n v="669.72202611275952"/>
        <n v="59.401431881305633"/>
        <n v="157.23908439169136"/>
        <n v="418.6839525222552"/>
        <n v="167.47358100890207"/>
        <n v="176.09674745163201"/>
        <n v="141.41524315727"/>
        <n v="11.950583928783381"/>
        <n v="12.233428198931749"/>
        <n v="108.06194909056379"/>
        <n v="0.66045239786350152"/>
        <n v="5.097261749554896"/>
        <n v="65.254874754658758"/>
        <n v="46.013745437626106"/>
        <n v="350.04321682611271"/>
        <n v="352.30156016047476"/>
        <n v="238.53751469198812"/>
        <n v="98.802520878338271"/>
        <n v="66.056542530089018"/>
        <n v="480.78012391691391"/>
        <n v="209.10627270267059"/>
        <n v="286.46611032498515"/>
        <n v="774.78378593234413"/>
        <n v="114.68838936498516"/>
        <n v="509.72617495548957"/>
        <n v="224.78924315537088"/>
        <n v="171.43202240759643"/>
        <n v="174.36549792284868"/>
        <n v="323.92009495548962"/>
        <n v="516.2045768545994"/>
        <n v="311.51464451038578"/>
        <n v="430.74480712166172"/>
        <n v="266.02110096142428"/>
        <n v="583.74536261127582"/>
        <n v="1059.080872166172"/>
        <n v="317.7242616498516"/>
        <n v="18.346282824925812"/>
        <n v="607.92909906231444"/>
        <n v="186.4026443280712"/>
        <n v="13.910645099109791"/>
        <n v="164.7443819109792"/>
        <n v="809.49010112759629"/>
        <n v="708.15824674183966"/>
        <n v="58.236697922848656"/>
        <n v="175.87482772700295"/>
        <n v="461.23464754896139"/>
        <n v="20.262235727002967"/>
        <n v="89.153837198813051"/>
        <n v="297.17945732937687"/>
        <n v="6.2027252225519289"/>
        <n v="465.20439169139468"/>
        <n v="356.65670029673589"/>
        <n v="24.097449651275962"/>
        <n v="344.77889501056376"/>
        <n v="135.43995119287831"/>
        <n v="7.5645680047477741"/>
        <n v="24.841776677982192"/>
        <n v="410.73619393709197"/>
        <n v="321.81392514658751"/>
        <n v="189.98313300320473"/>
        <n v="119.12761088759643"/>
        <n v="101.62545004629079"/>
        <n v="128.30709286362017"/>
        <n v="233.42095557507417"/>
        <n v="307.36488349816022"/>
        <n v="113.66893701507416"/>
        <n v="397.58641646528184"/>
        <n v="135.58716253816021"/>
        <n v="216.12389818112757"/>
        <n v="60.232872737804151"/>
        <n v="155.75732225519289"/>
        <n v="368.71755489614242"/>
        <n v="457.62328308605339"/>
        <n v="563.73123589317493"/>
        <n v="818.07742960237374"/>
        <n v="28.353346183976257"/>
        <n v="633.78067940652807"/>
        <n v="191.80204771513348"/>
        <n v="171.56462288902074"/>
        <n v="158.78976569732936"/>
        <n v="879.37413863501467"/>
        <n v="901.50408384569721"/>
        <n v="39.600954587537089"/>
        <n v="145.59174480712164"/>
        <n v="8.1048942908011874"/>
        <n v="282.32048446290798"/>
        <n v="496.21801780415433"/>
        <n v="344.25124985163205"/>
        <n v="116.30109792284867"/>
        <n v="37.843515774480707"/>
        <n v="21.909403869436201"/>
        <n v="10.194523499109792"/>
        <n v="179.42361358433232"/>
        <n v="10.590395206646884"/>
        <n v="5.51353353115727"/>
        <n v="302.33571388771509"/>
        <n v="206.0738292605341"/>
        <n v="116.30468171964391"/>
        <n v="100.49627837910978"/>
        <n v="121.598225262908"/>
        <n v="373.15594938872403"/>
        <n v="204.1571871667656"/>
        <n v="632.06045694480702"/>
        <n v="124.88291286409493"/>
        <n v="382.29463121661718"/>
        <n v="115.70784171489613"/>
        <n v="249.25609955323438"/>
        <n v="96.637356260652808"/>
        <n v="158.51408902077151"/>
        <n v="510.00185163204748"/>
        <n v="379.05543026706232"/>
        <n v="399.73118100890207"/>
        <n v="110.27067062314541"/>
        <n v="271.02463264094951"/>
        <n v="575.40614314540051"/>
        <n v="962.34592636201762"/>
        <n v="341.90799810089015"/>
        <n v="606.2612551691393"/>
        <n v="123.42044809495546"/>
        <n v="199.38591308724034"/>
        <n v="12.055892419228485"/>
        <n v="119.09232427299702"/>
        <n v="174.71009376854596"/>
        <n v="902.66881780415417"/>
        <n v="804.83116529376844"/>
        <n v="54.742496047477736"/>
        <n v="165.39222210089019"/>
        <n v="118.80286376261127"/>
        <n v="553.24863026706225"/>
        <n v="270.16314302670622"/>
        <n v="542.73845697329375"/>
        <n v="378.36623857566764"/>
        <n v="7.7534065281899114"/>
        <n v="26.361582195845699"/>
        <n v="159.34111905044509"/>
        <n v="53.777627679525217"/>
        <n v="201.85156528237385"/>
        <n v="2.232981080118694"/>
        <n v="7.7806985191691389"/>
        <n v="34.157442932225514"/>
        <n v="59.28151252700296"/>
        <n v="354.2776105780415"/>
        <n v="355.68907516201779"/>
        <n v="105.85984379821957"/>
        <n v="79.606602536261121"/>
        <n v="75.474760508011869"/>
        <n v="461.37248588724032"/>
        <n v="151.93092998456973"/>
        <n v="306.85515732320471"/>
        <n v="591.2823629483679"/>
        <n v="117.2370202397626"/>
        <n v="158.01511423620175"/>
        <n v="162.09292363584566"/>
        <n v="48.980577830741836"/>
        <n v="165.40600593471811"/>
        <n v="358.37967952522257"/>
        <n v="421.78531513353113"/>
        <n v="120.60854599406528"/>
        <n v="269.35678874777443"/>
        <n v="1032.3953698753708"/>
        <n v="12.508829198813054"/>
        <n v="55.642580396439165"/>
        <n v="8.346387059465874"/>
        <n v="185.19269939465872"/>
        <n v="931.78716676557849"/>
        <n v="774.54808237388715"/>
        <n v="46.589358338278927"/>
        <n v="164.2274881424332"/>
        <n v="477.54092296735899"/>
        <n v="272.86477445697329"/>
        <n v="4.6520439169139465"/>
        <n v="589.25889614243329"/>
        <n v="283.77467893175077"/>
        <n v="1.5506813056379822"/>
        <n v="139.42347916913945"/>
        <n v="35.851751786350142"/>
        <n v="33.859987798219578"/>
        <n v="11.887178293175074"/>
        <n v="27.664705845934716"/>
        <n v="350.89009557649848"/>
        <n v="215.67178843157268"/>
        <n v="96.261884627181004"/>
        <n v="52.506482523916908"/>
        <n v="437.9951037151335"/>
        <n v="94.956831240356081"/>
        <n v="292.0730982494955"/>
        <n v="601.47688644747768"/>
        <n v="310.93296672284862"/>
        <n v="121.31482963940651"/>
        <n v="41.037781425756677"/>
        <n v="180.56822314540059"/>
        <n v="420.40693175074182"/>
        <n v="426.60965697329374"/>
        <n v="111.64905400593472"/>
        <n v="275.19424237388716"/>
        <n v="542.04926528189901"/>
        <n v="1006.5437895311571"/>
        <n v="333.56877863501478"/>
        <n v="487.01041680712154"/>
        <n v="195.13773550148363"/>
        <n v="92.737633994065277"/>
        <n v="71.407978175430259"/>
        <n v="9.2737633994065263"/>
        <n v="165.73681794658751"/>
        <n v="769.8891465400593"/>
        <n v="193.34583710385755"/>
        <n v="117.63812980415429"/>
        <n v="290.4253787537092"/>
        <n v="3.1013626112759645"/>
        <n v="573.7520830860534"/>
        <n v="432.64008427299706"/>
        <n v="217.09538278931751"/>
        <n v="0.37072999463501483"/>
        <n v="43.818807738872401"/>
        <n v="205.92937468201777"/>
        <n v="4.465962160237388"/>
        <n v="9.7258731489614227"/>
        <n v="31.899099597863501"/>
        <n v="268.17827095548961"/>
        <n v="257.16884720047477"/>
        <n v="217.08325301554893"/>
        <n v="110.09423755014836"/>
        <n v="69.726350448427297"/>
        <n v="30.487635013887239"/>
        <n v="88.053887259347178"/>
        <n v="385.50626449851632"/>
        <n v="103.02816189578635"/>
        <n v="308.89406202302666"/>
        <n v="581.08783944925813"/>
        <n v="105.51331821578634"/>
        <n v="336.41927547062312"/>
        <n v="153.42757866160235"/>
        <n v="29.785486518694359"/>
        <n v="168.16277270029673"/>
        <n v="261.89284272997031"/>
        <n v="441.08268249258163"/>
        <n v="456.24489970326408"/>
        <n v="256.01403760237383"/>
        <n v="1058.2469502195843"/>
        <n v="466.9962900890207"/>
        <n v="197.63950134124624"/>
        <n v="10.20113973934718"/>
        <n v="191.54015487240355"/>
        <n v="137.43860709792284"/>
        <n v="885.19780842729961"/>
        <n v="783.86595404154298"/>
        <n v="111.81446001186941"/>
        <n v="325.546587347181"/>
        <n v="476.05916083086055"/>
        <n v="291.52808545994066"/>
        <n v="183.24228690801183"/>
        <n v="41.827043750741836"/>
        <n v="11.022656235489613"/>
        <n v="20.042797092462905"/>
        <n v="477.07502938397624"/>
        <n v="73.396158366765576"/>
        <n v="254.06362511572698"/>
        <n v="189.70084008640947"/>
        <n v="81.864945870623146"/>
        <n v="69.161764614836784"/>
        <n v="41.497058768902072"/>
        <n v="180.72012099418396"/>
        <n v="392.12250473590501"/>
        <n v="189.4388783245104"/>
        <n v="697.81513351406522"/>
        <n v="137.62606723798217"/>
        <n v="399.11559499014834"/>
        <n v="109.59112761543025"/>
        <n v="138.13579341293766"/>
        <n v="195.73044035608308"/>
        <n v="317.02817804154301"/>
        <n v="428.67723204747773"/>
        <n v="150.2437887240356"/>
        <n v="252.67834981602368"/>
        <n v="542.88318722848658"/>
        <n v="954.84062884272976"/>
        <n v="34.190799810089011"/>
        <n v="336.07054447477736"/>
        <n v="152.08971975026705"/>
        <n v="84.391246934599394"/>
        <n v="146.88053327002967"/>
        <n v="908.4924875964391"/>
        <n v="5.8236697922848659"/>
        <n v="93.178716676557855"/>
        <n v="166.55695605934716"/>
        <n v="48.918826255192869"/>
        <n v="443.76363817210677"/>
        <n v="324.19577163204747"/>
        <n v="717.96544451038574"/>
        <n v="282.22399762611275"/>
        <n v="187.22581488427298"/>
        <n v="39.835279762611272"/>
        <n v="26.505761097685458"/>
        <n v="23.828389214955489"/>
        <n v="6.6989432403560816"/>
        <n v="10.374264692225518"/>
        <n v="460.98433312664685"/>
        <n v="99.084813795133527"/>
        <n v="326.89519764890207"/>
        <n v="305.44093597246291"/>
        <n v="172.76326507869436"/>
        <n v="102.47232879667655"/>
        <n v="57.870047943026698"/>
        <n v="159.33560551691394"/>
        <n v="407.11931594065283"/>
        <n v="759.49200068367941"/>
        <n v="102.96468734100888"/>
        <n v="129.98017461364984"/>
        <n v="165.22488635821961"/>
        <n v="163.33843086053412"/>
        <n v="416.96097329376852"/>
        <n v="31.771185619940653"/>
        <n v="129.56803798219585"/>
        <n v="260.18364733531155"/>
        <n v="868.11274639762598"/>
        <n v="35.024721756676549"/>
        <n v="11.128516079287833"/>
        <n v="530.37435802967354"/>
        <n v="321.89387138278926"/>
        <n v="131.99399273590504"/>
        <n v="119.96759772106823"/>
        <n v="3.101362611275964"/>
        <n v="195.19287083679524"/>
        <n v="850.25578967359036"/>
        <n v="5.2951976033234409"/>
        <n v="937.61083655786342"/>
        <n v="34.418784421602375"/>
        <n v="3.4942018753709192"/>
        <n v="69.711739584569727"/>
        <n v="396.00954587537086"/>
        <n v="305.48421721068252"/>
        <n v="11.454917264332343"/>
        <n v="14.961524590148366"/>
        <n v="446.30510145329373"/>
        <n v="90.616026291275958"/>
        <n v="342.13901515584564"/>
        <n v="367.54537766741839"/>
        <n v="108.6827729661721"/>
        <n v="52.788775440712165"/>
        <n v="307.87460967311569"/>
        <n v="749.80720335952515"/>
        <n v="433.26724871216612"/>
        <n v="379.33110694362017"/>
        <n v="182.99169680902074"/>
        <n v="184.01114915893172"/>
        <n v="106.82643514540059"/>
        <n v="128.87884629080119"/>
        <n v="458.31247477744807"/>
        <n v="27.13788771703264"/>
        <n v="130.2572296735905"/>
        <n v="235.16598893768543"/>
        <n v="78.826988894955477"/>
        <n v="822.24703933531146"/>
        <n v="382.77017348367946"/>
        <n v="29.187268130563794"/>
        <n v="504.52277768545986"/>
        <n v="109.24377500296734"/>
        <n v="112.14527202373885"/>
        <n v="199.17639881305635"/>
        <n v="662.73362236201774"/>
        <n v="511.72483086053415"/>
        <n v="36.70028459679525"/>
        <n v="11.16490540059347"/>
        <n v="921.3045611394657"/>
        <n v="544.28913827893177"/>
        <n v="19.917639881305636"/>
        <n v="25.951099624451036"/>
        <n v="71.703503572700285"/>
        <n v="250.78527807810087"/>
        <n v="112.97919397032639"/>
        <n v="283.67130017804152"/>
        <n v="221.74742670623147"/>
        <n v="33.028271265044509"/>
        <n v="468.88853479691392"/>
        <n v="115.7400958860534"/>
        <n v="409.60702226991094"/>
        <n v="389.56422517744807"/>
        <n v="225.83433343620177"/>
        <n v="135.50060006172106"/>
        <n v="80.17118836985162"/>
        <n v="171.91473226824925"/>
        <n v="421.23396178041543"/>
        <n v="164.27531804581602"/>
        <n v="333.87064459584565"/>
        <n v="769.68652418278919"/>
        <n v="112.64948466516319"/>
        <n v="484.74959238267058"/>
        <n v="176.36525653459938"/>
        <n v="37.06638322326409"/>
        <n v="117.85177922848665"/>
        <n v="537.56951928783383"/>
        <n v="289.46051038575666"/>
        <n v="431.43399881305635"/>
        <n v="102.68956201780415"/>
        <n v="265.18717901483677"/>
        <n v="567.90084562611264"/>
        <n v="366.09173455192871"/>
        <n v="155.9434040118694"/>
        <n v="83.463870594658744"/>
        <n v="4.6368816997032631"/>
        <n v="114.13014409495548"/>
        <n v="116.47339584569731"/>
        <n v="815.31377091988122"/>
        <n v="966.72918551928774"/>
        <n v="130.450203347181"/>
        <n v="20.965211252225515"/>
        <n v="402.9979496261127"/>
        <n v="195.868278694362"/>
        <n v="218.64606409495551"/>
        <n v="35.219349490326408"/>
        <n v="223.07756667062313"/>
        <n v="31.868223810089017"/>
        <n v="17.863848640949552"/>
        <n v="9.9420036633827884"/>
        <n v="23.148019177210681"/>
        <n v="485.54381688783377"/>
        <n v="127.31410547465875"/>
        <n v="407.91326476913946"/>
        <n v="389.84651809424327"/>
        <n v="76.219087534718099"/>
        <n v="41.779351685697328"/>
        <n v="349.7785672166172"/>
        <n v="159.05269232759645"/>
        <n v="288.50501502480711"/>
        <n v="805.87708260462898"/>
        <n v="463.85081920949551"/>
        <n v="156.99566188629078"/>
        <n v="143.35187181008902"/>
        <n v="585.81293768545993"/>
        <n v="82.703002967359055"/>
        <n v="15.010595038575666"/>
        <n v="514.52984104451025"/>
        <n v="323.56171527596433"/>
        <n v="2.7821290198219581"/>
        <n v="198.4872071216617"/>
        <n v="818.80797279525211"/>
        <n v="34.942018753709192"/>
        <n v="206.15791064688423"/>
        <n v="245.75886523442134"/>
        <n v="479.16052344213654"/>
        <n v="159.72017448071216"/>
        <n v="185.23405089614241"/>
        <n v="59.752919643916904"/>
        <n v="16.311237598575666"/>
        <n v="18.533191611632045"/>
        <n v="472.27604979845694"/>
        <n v="113.48175255169139"/>
        <n v="453.64471728997029"/>
        <n v="411.01848685388723"/>
        <n v="192.80606217115727"/>
        <n v="78.759723785875366"/>
        <n v="46.296038354421363"/>
        <n v="26.253241261958454"/>
        <n v="117.82448723750741"/>
        <n v="294.6432319050445"/>
        <n v="116.79690242563798"/>
        <n v="860.92750949982189"/>
        <n v="174.32635183477743"/>
        <n v="458.24383128498511"/>
        <n v="126.41209138896141"/>
        <n v="148.84004308700295"/>
        <n v="33.756884721186942"/>
        <n v="131.63561305637981"/>
        <n v="268.78475964391691"/>
        <n v="552.04254480712166"/>
        <n v="283.94697685459943"/>
        <n v="399.04198931750739"/>
        <n v="112.33824569732937"/>
        <n v="184.29675019584568"/>
        <n v="430.30372443916906"/>
        <n v="815.57566376261116"/>
        <n v="381.10232959050438"/>
        <n v="10.840985305637981"/>
        <n v="451.98569505044503"/>
        <n v="241.8373645103857"/>
        <n v="19.474903138753707"/>
        <n v="124.26842955204746"/>
        <n v="12.983268759169139"/>
        <n v="122.06963237982194"/>
        <n v="819.97270675370908"/>
        <n v="658.07468652818977"/>
        <n v="196.84003897922847"/>
        <n v="348.25545357863496"/>
        <n v="251.25172301483678"/>
        <n v="618.72184094955492"/>
        <n v="533.43436913946584"/>
        <n v="177.26699494362015"/>
        <n v="51.785863691394653"/>
        <n v="30.583570497329372"/>
        <n v="171.26799478504449"/>
      </sharedItems>
    </cacheField>
    <cacheField name="尺寸段" numFmtId="0">
      <sharedItems count="6">
        <s v="≤32"/>
        <s v="37-39"/>
        <s v="40-43"/>
        <s v="46-50"/>
        <s v="55-60"/>
        <s v="≥65"/>
      </sharedItems>
    </cacheField>
    <cacheField name="尺寸销量" numFmtId="0">
      <sharedItems containsSemiMixedTypes="0" containsString="0" containsNumber="1" minValue="0" maxValue="750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1">
  <r>
    <x v="0"/>
    <x v="0"/>
    <x v="0"/>
    <x v="0"/>
    <x v="0"/>
    <x v="0"/>
    <x v="0"/>
    <x v="0"/>
    <n v="185"/>
  </r>
  <r>
    <x v="0"/>
    <x v="0"/>
    <x v="0"/>
    <x v="1"/>
    <x v="0"/>
    <x v="1"/>
    <x v="1"/>
    <x v="0"/>
    <n v="351.5"/>
  </r>
  <r>
    <x v="0"/>
    <x v="0"/>
    <x v="0"/>
    <x v="2"/>
    <x v="1"/>
    <x v="2"/>
    <x v="2"/>
    <x v="0"/>
    <n v="156"/>
  </r>
  <r>
    <x v="0"/>
    <x v="0"/>
    <x v="0"/>
    <x v="0"/>
    <x v="2"/>
    <x v="0"/>
    <x v="3"/>
    <x v="0"/>
    <n v="215"/>
  </r>
  <r>
    <x v="0"/>
    <x v="0"/>
    <x v="0"/>
    <x v="3"/>
    <x v="2"/>
    <x v="0"/>
    <x v="3"/>
    <x v="0"/>
    <n v="215"/>
  </r>
  <r>
    <x v="0"/>
    <x v="0"/>
    <x v="0"/>
    <x v="2"/>
    <x v="3"/>
    <x v="3"/>
    <x v="4"/>
    <x v="0"/>
    <n v="1080"/>
  </r>
  <r>
    <x v="0"/>
    <x v="0"/>
    <x v="0"/>
    <x v="0"/>
    <x v="4"/>
    <x v="4"/>
    <x v="5"/>
    <x v="0"/>
    <n v="3068"/>
  </r>
  <r>
    <x v="0"/>
    <x v="0"/>
    <x v="0"/>
    <x v="4"/>
    <x v="4"/>
    <x v="5"/>
    <x v="6"/>
    <x v="0"/>
    <n v="6136"/>
  </r>
  <r>
    <x v="0"/>
    <x v="0"/>
    <x v="0"/>
    <x v="1"/>
    <x v="4"/>
    <x v="6"/>
    <x v="7"/>
    <x v="0"/>
    <n v="8637.6"/>
  </r>
  <r>
    <x v="0"/>
    <x v="0"/>
    <x v="0"/>
    <x v="5"/>
    <x v="5"/>
    <x v="3"/>
    <x v="8"/>
    <x v="0"/>
    <n v="1190"/>
  </r>
  <r>
    <x v="0"/>
    <x v="0"/>
    <x v="0"/>
    <x v="0"/>
    <x v="6"/>
    <x v="7"/>
    <x v="9"/>
    <x v="0"/>
    <n v="560"/>
  </r>
  <r>
    <x v="0"/>
    <x v="0"/>
    <x v="0"/>
    <x v="2"/>
    <x v="7"/>
    <x v="8"/>
    <x v="10"/>
    <x v="0"/>
    <n v="3200"/>
  </r>
  <r>
    <x v="0"/>
    <x v="0"/>
    <x v="0"/>
    <x v="0"/>
    <x v="7"/>
    <x v="9"/>
    <x v="11"/>
    <x v="0"/>
    <n v="39040"/>
  </r>
  <r>
    <x v="0"/>
    <x v="0"/>
    <x v="0"/>
    <x v="6"/>
    <x v="7"/>
    <x v="10"/>
    <x v="12"/>
    <x v="0"/>
    <n v="7360"/>
  </r>
  <r>
    <x v="0"/>
    <x v="0"/>
    <x v="0"/>
    <x v="3"/>
    <x v="7"/>
    <x v="11"/>
    <x v="13"/>
    <x v="0"/>
    <n v="52960"/>
  </r>
  <r>
    <x v="0"/>
    <x v="0"/>
    <x v="0"/>
    <x v="4"/>
    <x v="7"/>
    <x v="12"/>
    <x v="14"/>
    <x v="0"/>
    <n v="21760"/>
  </r>
  <r>
    <x v="0"/>
    <x v="0"/>
    <x v="0"/>
    <x v="1"/>
    <x v="7"/>
    <x v="13"/>
    <x v="15"/>
    <x v="0"/>
    <n v="22720"/>
  </r>
  <r>
    <x v="0"/>
    <x v="0"/>
    <x v="0"/>
    <x v="7"/>
    <x v="7"/>
    <x v="14"/>
    <x v="16"/>
    <x v="0"/>
    <n v="11360"/>
  </r>
  <r>
    <x v="0"/>
    <x v="0"/>
    <x v="0"/>
    <x v="8"/>
    <x v="7"/>
    <x v="15"/>
    <x v="17"/>
    <x v="0"/>
    <n v="24960"/>
  </r>
  <r>
    <x v="0"/>
    <x v="0"/>
    <x v="0"/>
    <x v="9"/>
    <x v="7"/>
    <x v="16"/>
    <x v="18"/>
    <x v="0"/>
    <n v="2240"/>
  </r>
  <r>
    <x v="0"/>
    <x v="0"/>
    <x v="0"/>
    <x v="2"/>
    <x v="8"/>
    <x v="17"/>
    <x v="19"/>
    <x v="1"/>
    <n v="2067"/>
  </r>
  <r>
    <x v="0"/>
    <x v="0"/>
    <x v="0"/>
    <x v="5"/>
    <x v="8"/>
    <x v="5"/>
    <x v="20"/>
    <x v="1"/>
    <n v="10140"/>
  </r>
  <r>
    <x v="0"/>
    <x v="0"/>
    <x v="0"/>
    <x v="1"/>
    <x v="9"/>
    <x v="18"/>
    <x v="21"/>
    <x v="2"/>
    <n v="43880"/>
  </r>
  <r>
    <x v="0"/>
    <x v="0"/>
    <x v="0"/>
    <x v="8"/>
    <x v="9"/>
    <x v="19"/>
    <x v="22"/>
    <x v="2"/>
    <n v="5800"/>
  </r>
  <r>
    <x v="0"/>
    <x v="0"/>
    <x v="0"/>
    <x v="9"/>
    <x v="9"/>
    <x v="7"/>
    <x v="23"/>
    <x v="2"/>
    <n v="800"/>
  </r>
  <r>
    <x v="0"/>
    <x v="0"/>
    <x v="0"/>
    <x v="9"/>
    <x v="10"/>
    <x v="20"/>
    <x v="24"/>
    <x v="2"/>
    <n v="1867.5"/>
  </r>
  <r>
    <x v="0"/>
    <x v="0"/>
    <x v="0"/>
    <x v="2"/>
    <x v="11"/>
    <x v="21"/>
    <x v="25"/>
    <x v="2"/>
    <n v="24553"/>
  </r>
  <r>
    <x v="0"/>
    <x v="0"/>
    <x v="0"/>
    <x v="0"/>
    <x v="11"/>
    <x v="22"/>
    <x v="26"/>
    <x v="2"/>
    <n v="57190"/>
  </r>
  <r>
    <x v="0"/>
    <x v="0"/>
    <x v="0"/>
    <x v="5"/>
    <x v="11"/>
    <x v="23"/>
    <x v="27"/>
    <x v="2"/>
    <n v="6450"/>
  </r>
  <r>
    <x v="0"/>
    <x v="0"/>
    <x v="0"/>
    <x v="3"/>
    <x v="11"/>
    <x v="24"/>
    <x v="28"/>
    <x v="2"/>
    <n v="25370"/>
  </r>
  <r>
    <x v="0"/>
    <x v="0"/>
    <x v="0"/>
    <x v="4"/>
    <x v="11"/>
    <x v="25"/>
    <x v="29"/>
    <x v="2"/>
    <n v="18060"/>
  </r>
  <r>
    <x v="0"/>
    <x v="0"/>
    <x v="0"/>
    <x v="1"/>
    <x v="11"/>
    <x v="26"/>
    <x v="30"/>
    <x v="2"/>
    <n v="4085"/>
  </r>
  <r>
    <x v="0"/>
    <x v="0"/>
    <x v="0"/>
    <x v="7"/>
    <x v="11"/>
    <x v="27"/>
    <x v="31"/>
    <x v="2"/>
    <n v="27520"/>
  </r>
  <r>
    <x v="0"/>
    <x v="0"/>
    <x v="0"/>
    <x v="9"/>
    <x v="12"/>
    <x v="28"/>
    <x v="32"/>
    <x v="3"/>
    <n v="0"/>
  </r>
  <r>
    <x v="0"/>
    <x v="0"/>
    <x v="0"/>
    <x v="0"/>
    <x v="13"/>
    <x v="29"/>
    <x v="33"/>
    <x v="3"/>
    <n v="1470"/>
  </r>
  <r>
    <x v="0"/>
    <x v="0"/>
    <x v="0"/>
    <x v="3"/>
    <x v="13"/>
    <x v="30"/>
    <x v="34"/>
    <x v="3"/>
    <n v="2695"/>
  </r>
  <r>
    <x v="0"/>
    <x v="0"/>
    <x v="0"/>
    <x v="7"/>
    <x v="13"/>
    <x v="31"/>
    <x v="35"/>
    <x v="3"/>
    <n v="16660"/>
  </r>
  <r>
    <x v="0"/>
    <x v="0"/>
    <x v="0"/>
    <x v="8"/>
    <x v="13"/>
    <x v="32"/>
    <x v="36"/>
    <x v="3"/>
    <n v="6860"/>
  </r>
  <r>
    <x v="0"/>
    <x v="0"/>
    <x v="0"/>
    <x v="2"/>
    <x v="14"/>
    <x v="33"/>
    <x v="37"/>
    <x v="3"/>
    <n v="15200"/>
  </r>
  <r>
    <x v="0"/>
    <x v="0"/>
    <x v="0"/>
    <x v="5"/>
    <x v="14"/>
    <x v="34"/>
    <x v="38"/>
    <x v="3"/>
    <n v="18750"/>
  </r>
  <r>
    <x v="0"/>
    <x v="0"/>
    <x v="0"/>
    <x v="6"/>
    <x v="14"/>
    <x v="35"/>
    <x v="39"/>
    <x v="3"/>
    <n v="25000"/>
  </r>
  <r>
    <x v="0"/>
    <x v="0"/>
    <x v="0"/>
    <x v="4"/>
    <x v="14"/>
    <x v="36"/>
    <x v="40"/>
    <x v="3"/>
    <n v="9500"/>
  </r>
  <r>
    <x v="0"/>
    <x v="0"/>
    <x v="0"/>
    <x v="1"/>
    <x v="14"/>
    <x v="37"/>
    <x v="41"/>
    <x v="3"/>
    <n v="28900"/>
  </r>
  <r>
    <x v="0"/>
    <x v="0"/>
    <x v="0"/>
    <x v="7"/>
    <x v="14"/>
    <x v="38"/>
    <x v="42"/>
    <x v="3"/>
    <n v="250"/>
  </r>
  <r>
    <x v="0"/>
    <x v="0"/>
    <x v="0"/>
    <x v="2"/>
    <x v="15"/>
    <x v="39"/>
    <x v="43"/>
    <x v="4"/>
    <n v="15235"/>
  </r>
  <r>
    <x v="0"/>
    <x v="0"/>
    <x v="0"/>
    <x v="0"/>
    <x v="15"/>
    <x v="40"/>
    <x v="44"/>
    <x v="4"/>
    <n v="28050"/>
  </r>
  <r>
    <x v="0"/>
    <x v="0"/>
    <x v="0"/>
    <x v="5"/>
    <x v="15"/>
    <x v="41"/>
    <x v="45"/>
    <x v="4"/>
    <n v="6050"/>
  </r>
  <r>
    <x v="0"/>
    <x v="0"/>
    <x v="0"/>
    <x v="3"/>
    <x v="15"/>
    <x v="42"/>
    <x v="46"/>
    <x v="4"/>
    <n v="49115"/>
  </r>
  <r>
    <x v="0"/>
    <x v="0"/>
    <x v="0"/>
    <x v="4"/>
    <x v="15"/>
    <x v="43"/>
    <x v="32"/>
    <x v="4"/>
    <n v="0"/>
  </r>
  <r>
    <x v="0"/>
    <x v="0"/>
    <x v="0"/>
    <x v="7"/>
    <x v="15"/>
    <x v="44"/>
    <x v="47"/>
    <x v="4"/>
    <n v="26400"/>
  </r>
  <r>
    <x v="0"/>
    <x v="0"/>
    <x v="0"/>
    <x v="8"/>
    <x v="15"/>
    <x v="44"/>
    <x v="47"/>
    <x v="4"/>
    <n v="26400"/>
  </r>
  <r>
    <x v="0"/>
    <x v="0"/>
    <x v="0"/>
    <x v="5"/>
    <x v="16"/>
    <x v="3"/>
    <x v="48"/>
    <x v="4"/>
    <n v="2900"/>
  </r>
  <r>
    <x v="0"/>
    <x v="0"/>
    <x v="0"/>
    <x v="6"/>
    <x v="16"/>
    <x v="23"/>
    <x v="49"/>
    <x v="4"/>
    <n v="8700"/>
  </r>
  <r>
    <x v="0"/>
    <x v="0"/>
    <x v="0"/>
    <x v="4"/>
    <x v="16"/>
    <x v="45"/>
    <x v="50"/>
    <x v="4"/>
    <n v="58"/>
  </r>
  <r>
    <x v="0"/>
    <x v="0"/>
    <x v="0"/>
    <x v="1"/>
    <x v="16"/>
    <x v="3"/>
    <x v="48"/>
    <x v="4"/>
    <n v="2900"/>
  </r>
  <r>
    <x v="0"/>
    <x v="0"/>
    <x v="0"/>
    <x v="9"/>
    <x v="17"/>
    <x v="3"/>
    <x v="51"/>
    <x v="4"/>
    <n v="3000"/>
  </r>
  <r>
    <x v="0"/>
    <x v="0"/>
    <x v="0"/>
    <x v="2"/>
    <x v="18"/>
    <x v="46"/>
    <x v="52"/>
    <x v="5"/>
    <n v="13065"/>
  </r>
  <r>
    <x v="0"/>
    <x v="0"/>
    <x v="0"/>
    <x v="0"/>
    <x v="18"/>
    <x v="47"/>
    <x v="53"/>
    <x v="5"/>
    <n v="39000"/>
  </r>
  <r>
    <x v="0"/>
    <x v="0"/>
    <x v="0"/>
    <x v="5"/>
    <x v="18"/>
    <x v="48"/>
    <x v="54"/>
    <x v="5"/>
    <n v="1625"/>
  </r>
  <r>
    <x v="0"/>
    <x v="0"/>
    <x v="0"/>
    <x v="3"/>
    <x v="18"/>
    <x v="49"/>
    <x v="55"/>
    <x v="5"/>
    <n v="28795"/>
  </r>
  <r>
    <x v="0"/>
    <x v="0"/>
    <x v="0"/>
    <x v="1"/>
    <x v="18"/>
    <x v="50"/>
    <x v="56"/>
    <x v="5"/>
    <n v="2080"/>
  </r>
  <r>
    <x v="0"/>
    <x v="0"/>
    <x v="0"/>
    <x v="7"/>
    <x v="18"/>
    <x v="51"/>
    <x v="57"/>
    <x v="5"/>
    <n v="11050"/>
  </r>
  <r>
    <x v="0"/>
    <x v="0"/>
    <x v="0"/>
    <x v="8"/>
    <x v="18"/>
    <x v="52"/>
    <x v="58"/>
    <x v="5"/>
    <n v="25675"/>
  </r>
  <r>
    <x v="0"/>
    <x v="0"/>
    <x v="0"/>
    <x v="5"/>
    <x v="19"/>
    <x v="53"/>
    <x v="59"/>
    <x v="5"/>
    <n v="2450"/>
  </r>
  <r>
    <x v="0"/>
    <x v="0"/>
    <x v="0"/>
    <x v="6"/>
    <x v="19"/>
    <x v="16"/>
    <x v="60"/>
    <x v="5"/>
    <n v="4900"/>
  </r>
  <r>
    <x v="0"/>
    <x v="0"/>
    <x v="0"/>
    <x v="9"/>
    <x v="19"/>
    <x v="54"/>
    <x v="61"/>
    <x v="5"/>
    <n v="9660"/>
  </r>
  <r>
    <x v="0"/>
    <x v="0"/>
    <x v="0"/>
    <x v="2"/>
    <x v="20"/>
    <x v="29"/>
    <x v="62"/>
    <x v="5"/>
    <n v="2250"/>
  </r>
  <r>
    <x v="0"/>
    <x v="0"/>
    <x v="0"/>
    <x v="0"/>
    <x v="20"/>
    <x v="55"/>
    <x v="63"/>
    <x v="5"/>
    <n v="9000"/>
  </r>
  <r>
    <x v="0"/>
    <x v="0"/>
    <x v="0"/>
    <x v="3"/>
    <x v="20"/>
    <x v="56"/>
    <x v="64"/>
    <x v="5"/>
    <n v="4950"/>
  </r>
  <r>
    <x v="0"/>
    <x v="0"/>
    <x v="0"/>
    <x v="1"/>
    <x v="20"/>
    <x v="57"/>
    <x v="65"/>
    <x v="5"/>
    <n v="675"/>
  </r>
  <r>
    <x v="0"/>
    <x v="0"/>
    <x v="0"/>
    <x v="7"/>
    <x v="20"/>
    <x v="58"/>
    <x v="66"/>
    <x v="5"/>
    <n v="3000"/>
  </r>
  <r>
    <x v="0"/>
    <x v="0"/>
    <x v="0"/>
    <x v="8"/>
    <x v="20"/>
    <x v="8"/>
    <x v="67"/>
    <x v="5"/>
    <n v="7500"/>
  </r>
  <r>
    <x v="0"/>
    <x v="0"/>
    <x v="0"/>
    <x v="9"/>
    <x v="21"/>
    <x v="59"/>
    <x v="68"/>
    <x v="5"/>
    <n v="160"/>
  </r>
  <r>
    <x v="0"/>
    <x v="0"/>
    <x v="0"/>
    <x v="1"/>
    <x v="22"/>
    <x v="2"/>
    <x v="69"/>
    <x v="5"/>
    <n v="656"/>
  </r>
  <r>
    <x v="0"/>
    <x v="0"/>
    <x v="0"/>
    <x v="7"/>
    <x v="22"/>
    <x v="45"/>
    <x v="70"/>
    <x v="5"/>
    <n v="82"/>
  </r>
  <r>
    <x v="0"/>
    <x v="0"/>
    <x v="0"/>
    <x v="8"/>
    <x v="22"/>
    <x v="7"/>
    <x v="71"/>
    <x v="5"/>
    <n v="1640"/>
  </r>
  <r>
    <x v="0"/>
    <x v="0"/>
    <x v="0"/>
    <x v="2"/>
    <x v="23"/>
    <x v="50"/>
    <x v="72"/>
    <x v="5"/>
    <n v="2720"/>
  </r>
  <r>
    <x v="0"/>
    <x v="0"/>
    <x v="0"/>
    <x v="3"/>
    <x v="23"/>
    <x v="38"/>
    <x v="73"/>
    <x v="5"/>
    <n v="425"/>
  </r>
  <r>
    <x v="0"/>
    <x v="0"/>
    <x v="0"/>
    <x v="1"/>
    <x v="23"/>
    <x v="45"/>
    <x v="74"/>
    <x v="5"/>
    <n v="85"/>
  </r>
  <r>
    <x v="0"/>
    <x v="0"/>
    <x v="0"/>
    <x v="7"/>
    <x v="24"/>
    <x v="48"/>
    <x v="75"/>
    <x v="5"/>
    <n v="2150"/>
  </r>
  <r>
    <x v="0"/>
    <x v="0"/>
    <x v="0"/>
    <x v="7"/>
    <x v="25"/>
    <x v="59"/>
    <x v="76"/>
    <x v="5"/>
    <n v="196"/>
  </r>
  <r>
    <x v="0"/>
    <x v="0"/>
    <x v="0"/>
    <x v="1"/>
    <x v="26"/>
    <x v="45"/>
    <x v="77"/>
    <x v="5"/>
    <n v="100"/>
  </r>
  <r>
    <x v="0"/>
    <x v="0"/>
    <x v="1"/>
    <x v="0"/>
    <x v="0"/>
    <x v="43"/>
    <x v="32"/>
    <x v="0"/>
    <n v="0"/>
  </r>
  <r>
    <x v="0"/>
    <x v="0"/>
    <x v="1"/>
    <x v="1"/>
    <x v="0"/>
    <x v="59"/>
    <x v="78"/>
    <x v="0"/>
    <n v="37"/>
  </r>
  <r>
    <x v="0"/>
    <x v="0"/>
    <x v="1"/>
    <x v="2"/>
    <x v="1"/>
    <x v="60"/>
    <x v="79"/>
    <x v="0"/>
    <n v="214.5"/>
  </r>
  <r>
    <x v="0"/>
    <x v="0"/>
    <x v="1"/>
    <x v="0"/>
    <x v="2"/>
    <x v="43"/>
    <x v="32"/>
    <x v="0"/>
    <n v="0"/>
  </r>
  <r>
    <x v="0"/>
    <x v="0"/>
    <x v="1"/>
    <x v="3"/>
    <x v="2"/>
    <x v="61"/>
    <x v="80"/>
    <x v="0"/>
    <n v="301"/>
  </r>
  <r>
    <x v="0"/>
    <x v="0"/>
    <x v="1"/>
    <x v="2"/>
    <x v="3"/>
    <x v="62"/>
    <x v="81"/>
    <x v="0"/>
    <n v="518.40000000000009"/>
  </r>
  <r>
    <x v="0"/>
    <x v="0"/>
    <x v="1"/>
    <x v="0"/>
    <x v="4"/>
    <x v="32"/>
    <x v="82"/>
    <x v="0"/>
    <n v="3304"/>
  </r>
  <r>
    <x v="0"/>
    <x v="0"/>
    <x v="1"/>
    <x v="4"/>
    <x v="4"/>
    <x v="63"/>
    <x v="83"/>
    <x v="0"/>
    <n v="12508"/>
  </r>
  <r>
    <x v="0"/>
    <x v="0"/>
    <x v="1"/>
    <x v="1"/>
    <x v="4"/>
    <x v="64"/>
    <x v="84"/>
    <x v="0"/>
    <n v="5451.6"/>
  </r>
  <r>
    <x v="0"/>
    <x v="0"/>
    <x v="1"/>
    <x v="5"/>
    <x v="5"/>
    <x v="55"/>
    <x v="85"/>
    <x v="0"/>
    <n v="2856"/>
  </r>
  <r>
    <x v="0"/>
    <x v="0"/>
    <x v="1"/>
    <x v="0"/>
    <x v="6"/>
    <x v="65"/>
    <x v="86"/>
    <x v="0"/>
    <n v="2100"/>
  </r>
  <r>
    <x v="0"/>
    <x v="0"/>
    <x v="1"/>
    <x v="2"/>
    <x v="7"/>
    <x v="66"/>
    <x v="87"/>
    <x v="0"/>
    <n v="2176"/>
  </r>
  <r>
    <x v="0"/>
    <x v="0"/>
    <x v="1"/>
    <x v="0"/>
    <x v="7"/>
    <x v="67"/>
    <x v="88"/>
    <x v="0"/>
    <n v="26240"/>
  </r>
  <r>
    <x v="0"/>
    <x v="0"/>
    <x v="1"/>
    <x v="6"/>
    <x v="7"/>
    <x v="68"/>
    <x v="89"/>
    <x v="0"/>
    <n v="5760"/>
  </r>
  <r>
    <x v="0"/>
    <x v="0"/>
    <x v="1"/>
    <x v="3"/>
    <x v="7"/>
    <x v="69"/>
    <x v="90"/>
    <x v="0"/>
    <n v="47936"/>
  </r>
  <r>
    <x v="0"/>
    <x v="0"/>
    <x v="1"/>
    <x v="4"/>
    <x v="7"/>
    <x v="70"/>
    <x v="91"/>
    <x v="0"/>
    <n v="39360"/>
  </r>
  <r>
    <x v="0"/>
    <x v="0"/>
    <x v="1"/>
    <x v="1"/>
    <x v="7"/>
    <x v="71"/>
    <x v="92"/>
    <x v="0"/>
    <n v="17248"/>
  </r>
  <r>
    <x v="0"/>
    <x v="0"/>
    <x v="1"/>
    <x v="7"/>
    <x v="7"/>
    <x v="72"/>
    <x v="93"/>
    <x v="0"/>
    <n v="12800"/>
  </r>
  <r>
    <x v="0"/>
    <x v="0"/>
    <x v="1"/>
    <x v="8"/>
    <x v="7"/>
    <x v="73"/>
    <x v="94"/>
    <x v="0"/>
    <n v="22400"/>
  </r>
  <r>
    <x v="0"/>
    <x v="0"/>
    <x v="1"/>
    <x v="9"/>
    <x v="7"/>
    <x v="74"/>
    <x v="95"/>
    <x v="0"/>
    <n v="1920"/>
  </r>
  <r>
    <x v="0"/>
    <x v="0"/>
    <x v="1"/>
    <x v="2"/>
    <x v="8"/>
    <x v="75"/>
    <x v="96"/>
    <x v="1"/>
    <n v="819"/>
  </r>
  <r>
    <x v="0"/>
    <x v="0"/>
    <x v="1"/>
    <x v="5"/>
    <x v="8"/>
    <x v="76"/>
    <x v="97"/>
    <x v="1"/>
    <n v="10530"/>
  </r>
  <r>
    <x v="0"/>
    <x v="0"/>
    <x v="1"/>
    <x v="1"/>
    <x v="9"/>
    <x v="77"/>
    <x v="98"/>
    <x v="2"/>
    <n v="33680"/>
  </r>
  <r>
    <x v="0"/>
    <x v="0"/>
    <x v="1"/>
    <x v="8"/>
    <x v="9"/>
    <x v="78"/>
    <x v="99"/>
    <x v="2"/>
    <n v="6120"/>
  </r>
  <r>
    <x v="0"/>
    <x v="0"/>
    <x v="1"/>
    <x v="9"/>
    <x v="9"/>
    <x v="28"/>
    <x v="32"/>
    <x v="2"/>
    <n v="0"/>
  </r>
  <r>
    <x v="0"/>
    <x v="0"/>
    <x v="1"/>
    <x v="9"/>
    <x v="10"/>
    <x v="29"/>
    <x v="100"/>
    <x v="2"/>
    <n v="1245"/>
  </r>
  <r>
    <x v="0"/>
    <x v="0"/>
    <x v="1"/>
    <x v="2"/>
    <x v="11"/>
    <x v="79"/>
    <x v="101"/>
    <x v="2"/>
    <n v="21629"/>
  </r>
  <r>
    <x v="0"/>
    <x v="0"/>
    <x v="1"/>
    <x v="0"/>
    <x v="11"/>
    <x v="80"/>
    <x v="102"/>
    <x v="2"/>
    <n v="48590"/>
  </r>
  <r>
    <x v="0"/>
    <x v="0"/>
    <x v="1"/>
    <x v="5"/>
    <x v="11"/>
    <x v="81"/>
    <x v="103"/>
    <x v="2"/>
    <n v="8600"/>
  </r>
  <r>
    <x v="0"/>
    <x v="0"/>
    <x v="1"/>
    <x v="3"/>
    <x v="11"/>
    <x v="82"/>
    <x v="104"/>
    <x v="2"/>
    <n v="23478"/>
  </r>
  <r>
    <x v="0"/>
    <x v="0"/>
    <x v="1"/>
    <x v="4"/>
    <x v="11"/>
    <x v="44"/>
    <x v="105"/>
    <x v="2"/>
    <n v="20640"/>
  </r>
  <r>
    <x v="0"/>
    <x v="0"/>
    <x v="1"/>
    <x v="1"/>
    <x v="11"/>
    <x v="51"/>
    <x v="106"/>
    <x v="2"/>
    <n v="7310"/>
  </r>
  <r>
    <x v="0"/>
    <x v="0"/>
    <x v="1"/>
    <x v="7"/>
    <x v="11"/>
    <x v="83"/>
    <x v="107"/>
    <x v="2"/>
    <n v="24940"/>
  </r>
  <r>
    <x v="0"/>
    <x v="0"/>
    <x v="1"/>
    <x v="9"/>
    <x v="12"/>
    <x v="84"/>
    <x v="108"/>
    <x v="3"/>
    <n v="675"/>
  </r>
  <r>
    <x v="0"/>
    <x v="0"/>
    <x v="1"/>
    <x v="0"/>
    <x v="13"/>
    <x v="29"/>
    <x v="33"/>
    <x v="3"/>
    <n v="1470"/>
  </r>
  <r>
    <x v="0"/>
    <x v="0"/>
    <x v="1"/>
    <x v="3"/>
    <x v="13"/>
    <x v="85"/>
    <x v="109"/>
    <x v="3"/>
    <n v="1862"/>
  </r>
  <r>
    <x v="0"/>
    <x v="0"/>
    <x v="1"/>
    <x v="7"/>
    <x v="13"/>
    <x v="86"/>
    <x v="110"/>
    <x v="3"/>
    <n v="15680"/>
  </r>
  <r>
    <x v="0"/>
    <x v="0"/>
    <x v="1"/>
    <x v="8"/>
    <x v="13"/>
    <x v="36"/>
    <x v="111"/>
    <x v="3"/>
    <n v="9310"/>
  </r>
  <r>
    <x v="0"/>
    <x v="0"/>
    <x v="1"/>
    <x v="2"/>
    <x v="14"/>
    <x v="87"/>
    <x v="112"/>
    <x v="3"/>
    <n v="13350"/>
  </r>
  <r>
    <x v="0"/>
    <x v="0"/>
    <x v="1"/>
    <x v="5"/>
    <x v="14"/>
    <x v="88"/>
    <x v="113"/>
    <x v="3"/>
    <n v="18000"/>
  </r>
  <r>
    <x v="0"/>
    <x v="0"/>
    <x v="1"/>
    <x v="6"/>
    <x v="14"/>
    <x v="44"/>
    <x v="114"/>
    <x v="3"/>
    <n v="24000"/>
  </r>
  <r>
    <x v="0"/>
    <x v="0"/>
    <x v="1"/>
    <x v="4"/>
    <x v="14"/>
    <x v="81"/>
    <x v="115"/>
    <x v="3"/>
    <n v="10000"/>
  </r>
  <r>
    <x v="0"/>
    <x v="0"/>
    <x v="1"/>
    <x v="1"/>
    <x v="14"/>
    <x v="89"/>
    <x v="116"/>
    <x v="3"/>
    <n v="24200"/>
  </r>
  <r>
    <x v="0"/>
    <x v="0"/>
    <x v="1"/>
    <x v="7"/>
    <x v="14"/>
    <x v="28"/>
    <x v="32"/>
    <x v="3"/>
    <n v="0"/>
  </r>
  <r>
    <x v="0"/>
    <x v="0"/>
    <x v="1"/>
    <x v="2"/>
    <x v="15"/>
    <x v="90"/>
    <x v="117"/>
    <x v="4"/>
    <n v="15400"/>
  </r>
  <r>
    <x v="0"/>
    <x v="0"/>
    <x v="1"/>
    <x v="0"/>
    <x v="15"/>
    <x v="63"/>
    <x v="118"/>
    <x v="4"/>
    <n v="29150"/>
  </r>
  <r>
    <x v="0"/>
    <x v="0"/>
    <x v="1"/>
    <x v="5"/>
    <x v="15"/>
    <x v="23"/>
    <x v="119"/>
    <x v="4"/>
    <n v="8250"/>
  </r>
  <r>
    <x v="0"/>
    <x v="0"/>
    <x v="1"/>
    <x v="3"/>
    <x v="15"/>
    <x v="91"/>
    <x v="120"/>
    <x v="4"/>
    <n v="58850"/>
  </r>
  <r>
    <x v="0"/>
    <x v="0"/>
    <x v="1"/>
    <x v="4"/>
    <x v="15"/>
    <x v="43"/>
    <x v="32"/>
    <x v="4"/>
    <n v="0"/>
  </r>
  <r>
    <x v="0"/>
    <x v="0"/>
    <x v="1"/>
    <x v="7"/>
    <x v="15"/>
    <x v="92"/>
    <x v="121"/>
    <x v="4"/>
    <n v="24750"/>
  </r>
  <r>
    <x v="0"/>
    <x v="0"/>
    <x v="1"/>
    <x v="8"/>
    <x v="15"/>
    <x v="93"/>
    <x v="122"/>
    <x v="4"/>
    <n v="28765"/>
  </r>
  <r>
    <x v="0"/>
    <x v="0"/>
    <x v="1"/>
    <x v="5"/>
    <x v="16"/>
    <x v="94"/>
    <x v="123"/>
    <x v="4"/>
    <n v="4640"/>
  </r>
  <r>
    <x v="0"/>
    <x v="0"/>
    <x v="1"/>
    <x v="6"/>
    <x v="16"/>
    <x v="4"/>
    <x v="124"/>
    <x v="4"/>
    <n v="7540"/>
  </r>
  <r>
    <x v="0"/>
    <x v="0"/>
    <x v="1"/>
    <x v="4"/>
    <x v="16"/>
    <x v="2"/>
    <x v="125"/>
    <x v="4"/>
    <n v="464"/>
  </r>
  <r>
    <x v="0"/>
    <x v="0"/>
    <x v="1"/>
    <x v="1"/>
    <x v="16"/>
    <x v="95"/>
    <x v="126"/>
    <x v="4"/>
    <n v="3132"/>
  </r>
  <r>
    <x v="0"/>
    <x v="0"/>
    <x v="1"/>
    <x v="9"/>
    <x v="17"/>
    <x v="30"/>
    <x v="127"/>
    <x v="4"/>
    <n v="3300"/>
  </r>
  <r>
    <x v="0"/>
    <x v="0"/>
    <x v="1"/>
    <x v="2"/>
    <x v="18"/>
    <x v="96"/>
    <x v="128"/>
    <x v="5"/>
    <n v="13195"/>
  </r>
  <r>
    <x v="0"/>
    <x v="0"/>
    <x v="1"/>
    <x v="0"/>
    <x v="18"/>
    <x v="97"/>
    <x v="129"/>
    <x v="5"/>
    <n v="40300"/>
  </r>
  <r>
    <x v="0"/>
    <x v="0"/>
    <x v="1"/>
    <x v="5"/>
    <x v="18"/>
    <x v="7"/>
    <x v="130"/>
    <x v="5"/>
    <n v="1300"/>
  </r>
  <r>
    <x v="0"/>
    <x v="0"/>
    <x v="1"/>
    <x v="3"/>
    <x v="18"/>
    <x v="98"/>
    <x v="131"/>
    <x v="5"/>
    <n v="26065"/>
  </r>
  <r>
    <x v="0"/>
    <x v="0"/>
    <x v="1"/>
    <x v="1"/>
    <x v="18"/>
    <x v="99"/>
    <x v="132"/>
    <x v="5"/>
    <n v="2535"/>
  </r>
  <r>
    <x v="0"/>
    <x v="0"/>
    <x v="1"/>
    <x v="7"/>
    <x v="18"/>
    <x v="100"/>
    <x v="133"/>
    <x v="5"/>
    <n v="13650"/>
  </r>
  <r>
    <x v="0"/>
    <x v="0"/>
    <x v="1"/>
    <x v="8"/>
    <x v="18"/>
    <x v="101"/>
    <x v="134"/>
    <x v="5"/>
    <n v="26325"/>
  </r>
  <r>
    <x v="0"/>
    <x v="0"/>
    <x v="1"/>
    <x v="5"/>
    <x v="19"/>
    <x v="29"/>
    <x v="135"/>
    <x v="5"/>
    <n v="2100"/>
  </r>
  <r>
    <x v="0"/>
    <x v="0"/>
    <x v="1"/>
    <x v="6"/>
    <x v="19"/>
    <x v="102"/>
    <x v="136"/>
    <x v="5"/>
    <n v="4550"/>
  </r>
  <r>
    <x v="0"/>
    <x v="0"/>
    <x v="1"/>
    <x v="9"/>
    <x v="19"/>
    <x v="103"/>
    <x v="137"/>
    <x v="5"/>
    <n v="8750"/>
  </r>
  <r>
    <x v="0"/>
    <x v="0"/>
    <x v="1"/>
    <x v="2"/>
    <x v="20"/>
    <x v="62"/>
    <x v="138"/>
    <x v="5"/>
    <n v="1800"/>
  </r>
  <r>
    <x v="0"/>
    <x v="0"/>
    <x v="1"/>
    <x v="0"/>
    <x v="20"/>
    <x v="4"/>
    <x v="139"/>
    <x v="5"/>
    <n v="9750"/>
  </r>
  <r>
    <x v="0"/>
    <x v="0"/>
    <x v="1"/>
    <x v="3"/>
    <x v="20"/>
    <x v="104"/>
    <x v="140"/>
    <x v="5"/>
    <n v="7200"/>
  </r>
  <r>
    <x v="0"/>
    <x v="0"/>
    <x v="1"/>
    <x v="1"/>
    <x v="20"/>
    <x v="105"/>
    <x v="141"/>
    <x v="5"/>
    <n v="525"/>
  </r>
  <r>
    <x v="0"/>
    <x v="0"/>
    <x v="1"/>
    <x v="7"/>
    <x v="20"/>
    <x v="106"/>
    <x v="142"/>
    <x v="5"/>
    <n v="4200"/>
  </r>
  <r>
    <x v="0"/>
    <x v="0"/>
    <x v="1"/>
    <x v="8"/>
    <x v="20"/>
    <x v="26"/>
    <x v="143"/>
    <x v="5"/>
    <n v="7125"/>
  </r>
  <r>
    <x v="0"/>
    <x v="0"/>
    <x v="1"/>
    <x v="9"/>
    <x v="21"/>
    <x v="45"/>
    <x v="144"/>
    <x v="5"/>
    <n v="80"/>
  </r>
  <r>
    <x v="0"/>
    <x v="0"/>
    <x v="1"/>
    <x v="1"/>
    <x v="22"/>
    <x v="57"/>
    <x v="145"/>
    <x v="5"/>
    <n v="738"/>
  </r>
  <r>
    <x v="0"/>
    <x v="0"/>
    <x v="1"/>
    <x v="7"/>
    <x v="22"/>
    <x v="59"/>
    <x v="146"/>
    <x v="5"/>
    <n v="164"/>
  </r>
  <r>
    <x v="0"/>
    <x v="0"/>
    <x v="1"/>
    <x v="8"/>
    <x v="22"/>
    <x v="7"/>
    <x v="71"/>
    <x v="5"/>
    <n v="1640"/>
  </r>
  <r>
    <x v="0"/>
    <x v="0"/>
    <x v="1"/>
    <x v="2"/>
    <x v="23"/>
    <x v="107"/>
    <x v="147"/>
    <x v="5"/>
    <n v="3485"/>
  </r>
  <r>
    <x v="0"/>
    <x v="0"/>
    <x v="1"/>
    <x v="3"/>
    <x v="23"/>
    <x v="105"/>
    <x v="148"/>
    <x v="5"/>
    <n v="595"/>
  </r>
  <r>
    <x v="0"/>
    <x v="0"/>
    <x v="1"/>
    <x v="1"/>
    <x v="23"/>
    <x v="45"/>
    <x v="74"/>
    <x v="5"/>
    <n v="85"/>
  </r>
  <r>
    <x v="0"/>
    <x v="0"/>
    <x v="1"/>
    <x v="7"/>
    <x v="24"/>
    <x v="53"/>
    <x v="149"/>
    <x v="5"/>
    <n v="3010"/>
  </r>
  <r>
    <x v="0"/>
    <x v="0"/>
    <x v="1"/>
    <x v="7"/>
    <x v="25"/>
    <x v="59"/>
    <x v="76"/>
    <x v="5"/>
    <n v="196"/>
  </r>
  <r>
    <x v="0"/>
    <x v="0"/>
    <x v="1"/>
    <x v="1"/>
    <x v="26"/>
    <x v="28"/>
    <x v="32"/>
    <x v="5"/>
    <n v="0"/>
  </r>
  <r>
    <x v="0"/>
    <x v="0"/>
    <x v="2"/>
    <x v="0"/>
    <x v="0"/>
    <x v="43"/>
    <x v="32"/>
    <x v="0"/>
    <n v="0"/>
  </r>
  <r>
    <x v="0"/>
    <x v="0"/>
    <x v="2"/>
    <x v="1"/>
    <x v="0"/>
    <x v="108"/>
    <x v="150"/>
    <x v="0"/>
    <n v="536.5"/>
  </r>
  <r>
    <x v="0"/>
    <x v="0"/>
    <x v="2"/>
    <x v="2"/>
    <x v="1"/>
    <x v="61"/>
    <x v="151"/>
    <x v="0"/>
    <n v="273"/>
  </r>
  <r>
    <x v="0"/>
    <x v="0"/>
    <x v="2"/>
    <x v="0"/>
    <x v="2"/>
    <x v="43"/>
    <x v="32"/>
    <x v="0"/>
    <n v="0"/>
  </r>
  <r>
    <x v="0"/>
    <x v="0"/>
    <x v="2"/>
    <x v="3"/>
    <x v="2"/>
    <x v="0"/>
    <x v="3"/>
    <x v="0"/>
    <n v="215"/>
  </r>
  <r>
    <x v="0"/>
    <x v="0"/>
    <x v="2"/>
    <x v="2"/>
    <x v="3"/>
    <x v="29"/>
    <x v="152"/>
    <x v="0"/>
    <n v="648"/>
  </r>
  <r>
    <x v="0"/>
    <x v="0"/>
    <x v="2"/>
    <x v="0"/>
    <x v="4"/>
    <x v="109"/>
    <x v="153"/>
    <x v="0"/>
    <n v="2124"/>
  </r>
  <r>
    <x v="0"/>
    <x v="0"/>
    <x v="2"/>
    <x v="4"/>
    <x v="4"/>
    <x v="23"/>
    <x v="154"/>
    <x v="0"/>
    <n v="3540"/>
  </r>
  <r>
    <x v="0"/>
    <x v="0"/>
    <x v="2"/>
    <x v="1"/>
    <x v="4"/>
    <x v="110"/>
    <x v="155"/>
    <x v="0"/>
    <n v="15623.2"/>
  </r>
  <r>
    <x v="0"/>
    <x v="0"/>
    <x v="2"/>
    <x v="5"/>
    <x v="5"/>
    <x v="76"/>
    <x v="156"/>
    <x v="0"/>
    <n v="6426"/>
  </r>
  <r>
    <x v="0"/>
    <x v="0"/>
    <x v="2"/>
    <x v="0"/>
    <x v="6"/>
    <x v="16"/>
    <x v="157"/>
    <x v="0"/>
    <n v="1960"/>
  </r>
  <r>
    <x v="0"/>
    <x v="0"/>
    <x v="2"/>
    <x v="2"/>
    <x v="7"/>
    <x v="4"/>
    <x v="158"/>
    <x v="0"/>
    <n v="4160"/>
  </r>
  <r>
    <x v="0"/>
    <x v="0"/>
    <x v="2"/>
    <x v="0"/>
    <x v="7"/>
    <x v="111"/>
    <x v="159"/>
    <x v="0"/>
    <n v="30720"/>
  </r>
  <r>
    <x v="0"/>
    <x v="0"/>
    <x v="2"/>
    <x v="6"/>
    <x v="7"/>
    <x v="23"/>
    <x v="160"/>
    <x v="0"/>
    <n v="4800"/>
  </r>
  <r>
    <x v="0"/>
    <x v="0"/>
    <x v="2"/>
    <x v="3"/>
    <x v="7"/>
    <x v="112"/>
    <x v="161"/>
    <x v="0"/>
    <n v="45920"/>
  </r>
  <r>
    <x v="0"/>
    <x v="0"/>
    <x v="2"/>
    <x v="4"/>
    <x v="7"/>
    <x v="113"/>
    <x v="162"/>
    <x v="0"/>
    <n v="42080"/>
  </r>
  <r>
    <x v="0"/>
    <x v="0"/>
    <x v="2"/>
    <x v="1"/>
    <x v="7"/>
    <x v="114"/>
    <x v="163"/>
    <x v="0"/>
    <n v="26656"/>
  </r>
  <r>
    <x v="0"/>
    <x v="0"/>
    <x v="2"/>
    <x v="7"/>
    <x v="7"/>
    <x v="92"/>
    <x v="164"/>
    <x v="0"/>
    <n v="14400"/>
  </r>
  <r>
    <x v="0"/>
    <x v="0"/>
    <x v="2"/>
    <x v="8"/>
    <x v="7"/>
    <x v="115"/>
    <x v="165"/>
    <x v="0"/>
    <n v="29120"/>
  </r>
  <r>
    <x v="0"/>
    <x v="0"/>
    <x v="2"/>
    <x v="9"/>
    <x v="7"/>
    <x v="3"/>
    <x v="166"/>
    <x v="0"/>
    <n v="1600"/>
  </r>
  <r>
    <x v="0"/>
    <x v="0"/>
    <x v="2"/>
    <x v="2"/>
    <x v="8"/>
    <x v="30"/>
    <x v="167"/>
    <x v="1"/>
    <n v="2145"/>
  </r>
  <r>
    <x v="0"/>
    <x v="0"/>
    <x v="2"/>
    <x v="5"/>
    <x v="8"/>
    <x v="86"/>
    <x v="168"/>
    <x v="1"/>
    <n v="12480"/>
  </r>
  <r>
    <x v="0"/>
    <x v="0"/>
    <x v="2"/>
    <x v="1"/>
    <x v="9"/>
    <x v="116"/>
    <x v="169"/>
    <x v="2"/>
    <n v="47840"/>
  </r>
  <r>
    <x v="0"/>
    <x v="0"/>
    <x v="2"/>
    <x v="8"/>
    <x v="9"/>
    <x v="36"/>
    <x v="170"/>
    <x v="2"/>
    <n v="7600"/>
  </r>
  <r>
    <x v="0"/>
    <x v="0"/>
    <x v="2"/>
    <x v="9"/>
    <x v="9"/>
    <x v="28"/>
    <x v="32"/>
    <x v="2"/>
    <n v="0"/>
  </r>
  <r>
    <x v="0"/>
    <x v="0"/>
    <x v="2"/>
    <x v="9"/>
    <x v="10"/>
    <x v="3"/>
    <x v="171"/>
    <x v="2"/>
    <n v="2075"/>
  </r>
  <r>
    <x v="0"/>
    <x v="0"/>
    <x v="2"/>
    <x v="2"/>
    <x v="11"/>
    <x v="47"/>
    <x v="172"/>
    <x v="2"/>
    <n v="25800"/>
  </r>
  <r>
    <x v="0"/>
    <x v="0"/>
    <x v="2"/>
    <x v="0"/>
    <x v="11"/>
    <x v="117"/>
    <x v="173"/>
    <x v="2"/>
    <n v="58910"/>
  </r>
  <r>
    <x v="0"/>
    <x v="0"/>
    <x v="2"/>
    <x v="5"/>
    <x v="11"/>
    <x v="118"/>
    <x v="174"/>
    <x v="2"/>
    <n v="10750"/>
  </r>
  <r>
    <x v="0"/>
    <x v="0"/>
    <x v="2"/>
    <x v="3"/>
    <x v="11"/>
    <x v="119"/>
    <x v="175"/>
    <x v="2"/>
    <n v="19006"/>
  </r>
  <r>
    <x v="0"/>
    <x v="0"/>
    <x v="2"/>
    <x v="4"/>
    <x v="11"/>
    <x v="88"/>
    <x v="176"/>
    <x v="2"/>
    <n v="15480"/>
  </r>
  <r>
    <x v="0"/>
    <x v="0"/>
    <x v="2"/>
    <x v="1"/>
    <x v="11"/>
    <x v="120"/>
    <x v="177"/>
    <x v="2"/>
    <n v="13502"/>
  </r>
  <r>
    <x v="0"/>
    <x v="0"/>
    <x v="2"/>
    <x v="7"/>
    <x v="11"/>
    <x v="121"/>
    <x v="178"/>
    <x v="2"/>
    <n v="33110"/>
  </r>
  <r>
    <x v="0"/>
    <x v="0"/>
    <x v="2"/>
    <x v="9"/>
    <x v="12"/>
    <x v="0"/>
    <x v="179"/>
    <x v="3"/>
    <n v="450"/>
  </r>
  <r>
    <x v="0"/>
    <x v="0"/>
    <x v="2"/>
    <x v="0"/>
    <x v="13"/>
    <x v="53"/>
    <x v="180"/>
    <x v="3"/>
    <n v="1715"/>
  </r>
  <r>
    <x v="0"/>
    <x v="0"/>
    <x v="2"/>
    <x v="3"/>
    <x v="13"/>
    <x v="29"/>
    <x v="33"/>
    <x v="3"/>
    <n v="1470"/>
  </r>
  <r>
    <x v="0"/>
    <x v="0"/>
    <x v="2"/>
    <x v="7"/>
    <x v="13"/>
    <x v="122"/>
    <x v="181"/>
    <x v="3"/>
    <n v="18620"/>
  </r>
  <r>
    <x v="0"/>
    <x v="0"/>
    <x v="2"/>
    <x v="8"/>
    <x v="13"/>
    <x v="81"/>
    <x v="182"/>
    <x v="3"/>
    <n v="9800"/>
  </r>
  <r>
    <x v="0"/>
    <x v="0"/>
    <x v="2"/>
    <x v="2"/>
    <x v="14"/>
    <x v="123"/>
    <x v="183"/>
    <x v="3"/>
    <n v="18500"/>
  </r>
  <r>
    <x v="0"/>
    <x v="0"/>
    <x v="2"/>
    <x v="5"/>
    <x v="14"/>
    <x v="124"/>
    <x v="184"/>
    <x v="3"/>
    <n v="28000"/>
  </r>
  <r>
    <x v="0"/>
    <x v="0"/>
    <x v="2"/>
    <x v="6"/>
    <x v="14"/>
    <x v="44"/>
    <x v="114"/>
    <x v="3"/>
    <n v="24000"/>
  </r>
  <r>
    <x v="0"/>
    <x v="0"/>
    <x v="2"/>
    <x v="4"/>
    <x v="14"/>
    <x v="125"/>
    <x v="185"/>
    <x v="3"/>
    <n v="14500"/>
  </r>
  <r>
    <x v="0"/>
    <x v="0"/>
    <x v="2"/>
    <x v="1"/>
    <x v="14"/>
    <x v="126"/>
    <x v="186"/>
    <x v="3"/>
    <n v="35150"/>
  </r>
  <r>
    <x v="0"/>
    <x v="0"/>
    <x v="2"/>
    <x v="7"/>
    <x v="14"/>
    <x v="43"/>
    <x v="32"/>
    <x v="3"/>
    <n v="0"/>
  </r>
  <r>
    <x v="0"/>
    <x v="0"/>
    <x v="2"/>
    <x v="2"/>
    <x v="15"/>
    <x v="127"/>
    <x v="187"/>
    <x v="4"/>
    <n v="18975"/>
  </r>
  <r>
    <x v="0"/>
    <x v="0"/>
    <x v="2"/>
    <x v="0"/>
    <x v="15"/>
    <x v="97"/>
    <x v="188"/>
    <x v="4"/>
    <n v="34100"/>
  </r>
  <r>
    <x v="0"/>
    <x v="0"/>
    <x v="2"/>
    <x v="5"/>
    <x v="15"/>
    <x v="23"/>
    <x v="119"/>
    <x v="4"/>
    <n v="8250"/>
  </r>
  <r>
    <x v="0"/>
    <x v="0"/>
    <x v="2"/>
    <x v="3"/>
    <x v="15"/>
    <x v="128"/>
    <x v="189"/>
    <x v="4"/>
    <n v="61490"/>
  </r>
  <r>
    <x v="0"/>
    <x v="0"/>
    <x v="2"/>
    <x v="4"/>
    <x v="15"/>
    <x v="129"/>
    <x v="190"/>
    <x v="4"/>
    <n v="660"/>
  </r>
  <r>
    <x v="0"/>
    <x v="0"/>
    <x v="2"/>
    <x v="7"/>
    <x v="15"/>
    <x v="130"/>
    <x v="191"/>
    <x v="4"/>
    <n v="33550"/>
  </r>
  <r>
    <x v="0"/>
    <x v="0"/>
    <x v="2"/>
    <x v="8"/>
    <x v="15"/>
    <x v="131"/>
    <x v="192"/>
    <x v="4"/>
    <n v="29535"/>
  </r>
  <r>
    <x v="0"/>
    <x v="0"/>
    <x v="2"/>
    <x v="5"/>
    <x v="16"/>
    <x v="55"/>
    <x v="193"/>
    <x v="4"/>
    <n v="6960"/>
  </r>
  <r>
    <x v="0"/>
    <x v="0"/>
    <x v="2"/>
    <x v="6"/>
    <x v="16"/>
    <x v="132"/>
    <x v="194"/>
    <x v="4"/>
    <n v="7830"/>
  </r>
  <r>
    <x v="0"/>
    <x v="0"/>
    <x v="2"/>
    <x v="4"/>
    <x v="16"/>
    <x v="28"/>
    <x v="32"/>
    <x v="4"/>
    <n v="0"/>
  </r>
  <r>
    <x v="0"/>
    <x v="0"/>
    <x v="2"/>
    <x v="1"/>
    <x v="16"/>
    <x v="133"/>
    <x v="195"/>
    <x v="4"/>
    <n v="3596"/>
  </r>
  <r>
    <x v="0"/>
    <x v="0"/>
    <x v="2"/>
    <x v="9"/>
    <x v="17"/>
    <x v="74"/>
    <x v="196"/>
    <x v="4"/>
    <n v="3600"/>
  </r>
  <r>
    <x v="0"/>
    <x v="0"/>
    <x v="2"/>
    <x v="2"/>
    <x v="18"/>
    <x v="134"/>
    <x v="197"/>
    <x v="5"/>
    <n v="15275"/>
  </r>
  <r>
    <x v="0"/>
    <x v="0"/>
    <x v="2"/>
    <x v="0"/>
    <x v="18"/>
    <x v="47"/>
    <x v="53"/>
    <x v="5"/>
    <n v="39000"/>
  </r>
  <r>
    <x v="0"/>
    <x v="0"/>
    <x v="2"/>
    <x v="5"/>
    <x v="18"/>
    <x v="135"/>
    <x v="198"/>
    <x v="5"/>
    <n v="1495"/>
  </r>
  <r>
    <x v="0"/>
    <x v="0"/>
    <x v="2"/>
    <x v="3"/>
    <x v="18"/>
    <x v="136"/>
    <x v="199"/>
    <x v="5"/>
    <n v="32565"/>
  </r>
  <r>
    <x v="0"/>
    <x v="0"/>
    <x v="2"/>
    <x v="1"/>
    <x v="18"/>
    <x v="137"/>
    <x v="200"/>
    <x v="5"/>
    <n v="2795"/>
  </r>
  <r>
    <x v="0"/>
    <x v="0"/>
    <x v="2"/>
    <x v="7"/>
    <x v="18"/>
    <x v="81"/>
    <x v="201"/>
    <x v="5"/>
    <n v="13000"/>
  </r>
  <r>
    <x v="0"/>
    <x v="0"/>
    <x v="2"/>
    <x v="8"/>
    <x v="18"/>
    <x v="138"/>
    <x v="202"/>
    <x v="5"/>
    <n v="26975"/>
  </r>
  <r>
    <x v="0"/>
    <x v="0"/>
    <x v="2"/>
    <x v="5"/>
    <x v="19"/>
    <x v="139"/>
    <x v="203"/>
    <x v="5"/>
    <n v="2590"/>
  </r>
  <r>
    <x v="0"/>
    <x v="0"/>
    <x v="2"/>
    <x v="6"/>
    <x v="19"/>
    <x v="74"/>
    <x v="204"/>
    <x v="5"/>
    <n v="4200"/>
  </r>
  <r>
    <x v="0"/>
    <x v="0"/>
    <x v="2"/>
    <x v="9"/>
    <x v="19"/>
    <x v="8"/>
    <x v="205"/>
    <x v="5"/>
    <n v="7000"/>
  </r>
  <r>
    <x v="0"/>
    <x v="0"/>
    <x v="2"/>
    <x v="2"/>
    <x v="20"/>
    <x v="95"/>
    <x v="206"/>
    <x v="5"/>
    <n v="4050"/>
  </r>
  <r>
    <x v="0"/>
    <x v="0"/>
    <x v="2"/>
    <x v="0"/>
    <x v="20"/>
    <x v="140"/>
    <x v="207"/>
    <x v="5"/>
    <n v="11625"/>
  </r>
  <r>
    <x v="0"/>
    <x v="0"/>
    <x v="2"/>
    <x v="3"/>
    <x v="20"/>
    <x v="141"/>
    <x v="208"/>
    <x v="5"/>
    <n v="11100"/>
  </r>
  <r>
    <x v="0"/>
    <x v="0"/>
    <x v="2"/>
    <x v="1"/>
    <x v="20"/>
    <x v="61"/>
    <x v="209"/>
    <x v="5"/>
    <n v="1050"/>
  </r>
  <r>
    <x v="0"/>
    <x v="0"/>
    <x v="2"/>
    <x v="7"/>
    <x v="20"/>
    <x v="16"/>
    <x v="210"/>
    <x v="5"/>
    <n v="5250"/>
  </r>
  <r>
    <x v="0"/>
    <x v="0"/>
    <x v="2"/>
    <x v="8"/>
    <x v="20"/>
    <x v="4"/>
    <x v="139"/>
    <x v="5"/>
    <n v="9750"/>
  </r>
  <r>
    <x v="0"/>
    <x v="0"/>
    <x v="2"/>
    <x v="9"/>
    <x v="21"/>
    <x v="45"/>
    <x v="144"/>
    <x v="5"/>
    <n v="80"/>
  </r>
  <r>
    <x v="0"/>
    <x v="0"/>
    <x v="2"/>
    <x v="1"/>
    <x v="22"/>
    <x v="57"/>
    <x v="145"/>
    <x v="5"/>
    <n v="738"/>
  </r>
  <r>
    <x v="0"/>
    <x v="0"/>
    <x v="2"/>
    <x v="7"/>
    <x v="22"/>
    <x v="45"/>
    <x v="70"/>
    <x v="5"/>
    <n v="82"/>
  </r>
  <r>
    <x v="0"/>
    <x v="0"/>
    <x v="2"/>
    <x v="8"/>
    <x v="22"/>
    <x v="29"/>
    <x v="211"/>
    <x v="5"/>
    <n v="2460"/>
  </r>
  <r>
    <x v="0"/>
    <x v="0"/>
    <x v="2"/>
    <x v="2"/>
    <x v="23"/>
    <x v="20"/>
    <x v="212"/>
    <x v="5"/>
    <n v="3825"/>
  </r>
  <r>
    <x v="0"/>
    <x v="0"/>
    <x v="2"/>
    <x v="3"/>
    <x v="23"/>
    <x v="62"/>
    <x v="213"/>
    <x v="5"/>
    <n v="2040"/>
  </r>
  <r>
    <x v="0"/>
    <x v="0"/>
    <x v="2"/>
    <x v="1"/>
    <x v="23"/>
    <x v="45"/>
    <x v="74"/>
    <x v="5"/>
    <n v="85"/>
  </r>
  <r>
    <x v="0"/>
    <x v="0"/>
    <x v="2"/>
    <x v="7"/>
    <x v="24"/>
    <x v="142"/>
    <x v="214"/>
    <x v="5"/>
    <n v="2838"/>
  </r>
  <r>
    <x v="0"/>
    <x v="0"/>
    <x v="2"/>
    <x v="7"/>
    <x v="25"/>
    <x v="143"/>
    <x v="215"/>
    <x v="5"/>
    <n v="294"/>
  </r>
  <r>
    <x v="0"/>
    <x v="0"/>
    <x v="2"/>
    <x v="1"/>
    <x v="26"/>
    <x v="28"/>
    <x v="32"/>
    <x v="5"/>
    <n v="0"/>
  </r>
  <r>
    <x v="0"/>
    <x v="1"/>
    <x v="3"/>
    <x v="1"/>
    <x v="0"/>
    <x v="61"/>
    <x v="216"/>
    <x v="0"/>
    <n v="259"/>
  </r>
  <r>
    <x v="0"/>
    <x v="1"/>
    <x v="3"/>
    <x v="2"/>
    <x v="1"/>
    <x v="61"/>
    <x v="151"/>
    <x v="0"/>
    <n v="273"/>
  </r>
  <r>
    <x v="0"/>
    <x v="1"/>
    <x v="3"/>
    <x v="3"/>
    <x v="2"/>
    <x v="43"/>
    <x v="32"/>
    <x v="0"/>
    <n v="0"/>
  </r>
  <r>
    <x v="0"/>
    <x v="1"/>
    <x v="3"/>
    <x v="2"/>
    <x v="3"/>
    <x v="74"/>
    <x v="217"/>
    <x v="0"/>
    <n v="1296"/>
  </r>
  <r>
    <x v="0"/>
    <x v="1"/>
    <x v="3"/>
    <x v="0"/>
    <x v="4"/>
    <x v="26"/>
    <x v="218"/>
    <x v="0"/>
    <n v="2242"/>
  </r>
  <r>
    <x v="0"/>
    <x v="1"/>
    <x v="3"/>
    <x v="4"/>
    <x v="4"/>
    <x v="81"/>
    <x v="219"/>
    <x v="0"/>
    <n v="4720"/>
  </r>
  <r>
    <x v="0"/>
    <x v="1"/>
    <x v="3"/>
    <x v="1"/>
    <x v="4"/>
    <x v="144"/>
    <x v="220"/>
    <x v="0"/>
    <n v="14018.400000000001"/>
  </r>
  <r>
    <x v="0"/>
    <x v="1"/>
    <x v="3"/>
    <x v="5"/>
    <x v="5"/>
    <x v="41"/>
    <x v="221"/>
    <x v="0"/>
    <n v="2618"/>
  </r>
  <r>
    <x v="0"/>
    <x v="1"/>
    <x v="3"/>
    <x v="0"/>
    <x v="6"/>
    <x v="45"/>
    <x v="222"/>
    <x v="0"/>
    <n v="28"/>
  </r>
  <r>
    <x v="0"/>
    <x v="1"/>
    <x v="3"/>
    <x v="2"/>
    <x v="7"/>
    <x v="8"/>
    <x v="10"/>
    <x v="0"/>
    <n v="3200"/>
  </r>
  <r>
    <x v="0"/>
    <x v="1"/>
    <x v="3"/>
    <x v="0"/>
    <x v="7"/>
    <x v="145"/>
    <x v="223"/>
    <x v="0"/>
    <n v="33600"/>
  </r>
  <r>
    <x v="0"/>
    <x v="1"/>
    <x v="3"/>
    <x v="6"/>
    <x v="7"/>
    <x v="146"/>
    <x v="224"/>
    <x v="0"/>
    <n v="7040"/>
  </r>
  <r>
    <x v="0"/>
    <x v="1"/>
    <x v="3"/>
    <x v="3"/>
    <x v="7"/>
    <x v="147"/>
    <x v="225"/>
    <x v="0"/>
    <n v="35264"/>
  </r>
  <r>
    <x v="0"/>
    <x v="1"/>
    <x v="3"/>
    <x v="4"/>
    <x v="7"/>
    <x v="148"/>
    <x v="226"/>
    <x v="0"/>
    <n v="34880"/>
  </r>
  <r>
    <x v="0"/>
    <x v="1"/>
    <x v="3"/>
    <x v="1"/>
    <x v="7"/>
    <x v="149"/>
    <x v="227"/>
    <x v="0"/>
    <n v="29600"/>
  </r>
  <r>
    <x v="0"/>
    <x v="1"/>
    <x v="3"/>
    <x v="7"/>
    <x v="7"/>
    <x v="150"/>
    <x v="228"/>
    <x v="0"/>
    <n v="8160"/>
  </r>
  <r>
    <x v="0"/>
    <x v="1"/>
    <x v="3"/>
    <x v="8"/>
    <x v="7"/>
    <x v="52"/>
    <x v="229"/>
    <x v="0"/>
    <n v="12640"/>
  </r>
  <r>
    <x v="0"/>
    <x v="1"/>
    <x v="3"/>
    <x v="9"/>
    <x v="7"/>
    <x v="29"/>
    <x v="230"/>
    <x v="0"/>
    <n v="960"/>
  </r>
  <r>
    <x v="0"/>
    <x v="1"/>
    <x v="3"/>
    <x v="2"/>
    <x v="8"/>
    <x v="84"/>
    <x v="231"/>
    <x v="1"/>
    <n v="585"/>
  </r>
  <r>
    <x v="0"/>
    <x v="1"/>
    <x v="3"/>
    <x v="5"/>
    <x v="8"/>
    <x v="32"/>
    <x v="232"/>
    <x v="1"/>
    <n v="5460"/>
  </r>
  <r>
    <x v="0"/>
    <x v="1"/>
    <x v="3"/>
    <x v="1"/>
    <x v="9"/>
    <x v="151"/>
    <x v="233"/>
    <x v="2"/>
    <n v="41640"/>
  </r>
  <r>
    <x v="0"/>
    <x v="1"/>
    <x v="3"/>
    <x v="8"/>
    <x v="9"/>
    <x v="152"/>
    <x v="234"/>
    <x v="2"/>
    <n v="6880"/>
  </r>
  <r>
    <x v="0"/>
    <x v="1"/>
    <x v="3"/>
    <x v="9"/>
    <x v="9"/>
    <x v="28"/>
    <x v="32"/>
    <x v="2"/>
    <n v="0"/>
  </r>
  <r>
    <x v="0"/>
    <x v="1"/>
    <x v="3"/>
    <x v="9"/>
    <x v="10"/>
    <x v="74"/>
    <x v="235"/>
    <x v="2"/>
    <n v="2490"/>
  </r>
  <r>
    <x v="0"/>
    <x v="1"/>
    <x v="3"/>
    <x v="2"/>
    <x v="11"/>
    <x v="24"/>
    <x v="28"/>
    <x v="2"/>
    <n v="25370"/>
  </r>
  <r>
    <x v="0"/>
    <x v="1"/>
    <x v="3"/>
    <x v="0"/>
    <x v="11"/>
    <x v="153"/>
    <x v="236"/>
    <x v="2"/>
    <n v="44720"/>
  </r>
  <r>
    <x v="0"/>
    <x v="1"/>
    <x v="3"/>
    <x v="5"/>
    <x v="11"/>
    <x v="154"/>
    <x v="237"/>
    <x v="2"/>
    <n v="6880"/>
  </r>
  <r>
    <x v="0"/>
    <x v="1"/>
    <x v="3"/>
    <x v="3"/>
    <x v="11"/>
    <x v="155"/>
    <x v="238"/>
    <x v="2"/>
    <n v="21070"/>
  </r>
  <r>
    <x v="0"/>
    <x v="1"/>
    <x v="3"/>
    <x v="4"/>
    <x v="11"/>
    <x v="118"/>
    <x v="174"/>
    <x v="2"/>
    <n v="10750"/>
  </r>
  <r>
    <x v="0"/>
    <x v="1"/>
    <x v="3"/>
    <x v="1"/>
    <x v="11"/>
    <x v="156"/>
    <x v="239"/>
    <x v="2"/>
    <n v="7052"/>
  </r>
  <r>
    <x v="0"/>
    <x v="1"/>
    <x v="3"/>
    <x v="7"/>
    <x v="11"/>
    <x v="44"/>
    <x v="105"/>
    <x v="2"/>
    <n v="20640"/>
  </r>
  <r>
    <x v="0"/>
    <x v="1"/>
    <x v="3"/>
    <x v="9"/>
    <x v="12"/>
    <x v="29"/>
    <x v="240"/>
    <x v="3"/>
    <n v="1350"/>
  </r>
  <r>
    <x v="0"/>
    <x v="1"/>
    <x v="3"/>
    <x v="0"/>
    <x v="13"/>
    <x v="1"/>
    <x v="241"/>
    <x v="3"/>
    <n v="931"/>
  </r>
  <r>
    <x v="0"/>
    <x v="1"/>
    <x v="3"/>
    <x v="3"/>
    <x v="13"/>
    <x v="48"/>
    <x v="242"/>
    <x v="3"/>
    <n v="1225"/>
  </r>
  <r>
    <x v="0"/>
    <x v="1"/>
    <x v="3"/>
    <x v="7"/>
    <x v="13"/>
    <x v="157"/>
    <x v="243"/>
    <x v="3"/>
    <n v="11760"/>
  </r>
  <r>
    <x v="0"/>
    <x v="1"/>
    <x v="3"/>
    <x v="8"/>
    <x v="13"/>
    <x v="158"/>
    <x v="244"/>
    <x v="3"/>
    <n v="5145"/>
  </r>
  <r>
    <x v="0"/>
    <x v="1"/>
    <x v="3"/>
    <x v="2"/>
    <x v="14"/>
    <x v="76"/>
    <x v="63"/>
    <x v="3"/>
    <n v="13500"/>
  </r>
  <r>
    <x v="0"/>
    <x v="1"/>
    <x v="3"/>
    <x v="5"/>
    <x v="14"/>
    <x v="159"/>
    <x v="245"/>
    <x v="3"/>
    <n v="15000"/>
  </r>
  <r>
    <x v="0"/>
    <x v="1"/>
    <x v="3"/>
    <x v="6"/>
    <x v="14"/>
    <x v="63"/>
    <x v="246"/>
    <x v="3"/>
    <n v="26500"/>
  </r>
  <r>
    <x v="0"/>
    <x v="1"/>
    <x v="3"/>
    <x v="4"/>
    <x v="14"/>
    <x v="160"/>
    <x v="247"/>
    <x v="3"/>
    <n v="15500"/>
  </r>
  <r>
    <x v="0"/>
    <x v="1"/>
    <x v="3"/>
    <x v="1"/>
    <x v="14"/>
    <x v="161"/>
    <x v="248"/>
    <x v="3"/>
    <n v="32750"/>
  </r>
  <r>
    <x v="0"/>
    <x v="1"/>
    <x v="3"/>
    <x v="7"/>
    <x v="14"/>
    <x v="43"/>
    <x v="32"/>
    <x v="3"/>
    <n v="0"/>
  </r>
  <r>
    <x v="0"/>
    <x v="1"/>
    <x v="3"/>
    <x v="2"/>
    <x v="15"/>
    <x v="159"/>
    <x v="249"/>
    <x v="4"/>
    <n v="16500"/>
  </r>
  <r>
    <x v="0"/>
    <x v="1"/>
    <x v="3"/>
    <x v="0"/>
    <x v="15"/>
    <x v="162"/>
    <x v="250"/>
    <x v="4"/>
    <n v="30250"/>
  </r>
  <r>
    <x v="0"/>
    <x v="1"/>
    <x v="3"/>
    <x v="5"/>
    <x v="15"/>
    <x v="4"/>
    <x v="251"/>
    <x v="4"/>
    <n v="7150"/>
  </r>
  <r>
    <x v="0"/>
    <x v="1"/>
    <x v="3"/>
    <x v="3"/>
    <x v="15"/>
    <x v="163"/>
    <x v="252"/>
    <x v="4"/>
    <n v="75020"/>
  </r>
  <r>
    <x v="0"/>
    <x v="1"/>
    <x v="3"/>
    <x v="4"/>
    <x v="15"/>
    <x v="48"/>
    <x v="253"/>
    <x v="4"/>
    <n v="1375"/>
  </r>
  <r>
    <x v="0"/>
    <x v="1"/>
    <x v="3"/>
    <x v="7"/>
    <x v="15"/>
    <x v="164"/>
    <x v="254"/>
    <x v="4"/>
    <n v="24200"/>
  </r>
  <r>
    <x v="0"/>
    <x v="1"/>
    <x v="3"/>
    <x v="8"/>
    <x v="15"/>
    <x v="86"/>
    <x v="255"/>
    <x v="4"/>
    <n v="17600"/>
  </r>
  <r>
    <x v="0"/>
    <x v="1"/>
    <x v="3"/>
    <x v="5"/>
    <x v="16"/>
    <x v="16"/>
    <x v="256"/>
    <x v="4"/>
    <n v="4060"/>
  </r>
  <r>
    <x v="0"/>
    <x v="1"/>
    <x v="3"/>
    <x v="6"/>
    <x v="16"/>
    <x v="132"/>
    <x v="194"/>
    <x v="4"/>
    <n v="7830"/>
  </r>
  <r>
    <x v="0"/>
    <x v="1"/>
    <x v="3"/>
    <x v="4"/>
    <x v="16"/>
    <x v="58"/>
    <x v="257"/>
    <x v="4"/>
    <n v="2320"/>
  </r>
  <r>
    <x v="0"/>
    <x v="1"/>
    <x v="3"/>
    <x v="1"/>
    <x v="16"/>
    <x v="165"/>
    <x v="258"/>
    <x v="4"/>
    <n v="3654"/>
  </r>
  <r>
    <x v="0"/>
    <x v="1"/>
    <x v="3"/>
    <x v="9"/>
    <x v="17"/>
    <x v="41"/>
    <x v="259"/>
    <x v="4"/>
    <n v="6600"/>
  </r>
  <r>
    <x v="0"/>
    <x v="1"/>
    <x v="3"/>
    <x v="2"/>
    <x v="18"/>
    <x v="157"/>
    <x v="260"/>
    <x v="5"/>
    <n v="15600"/>
  </r>
  <r>
    <x v="0"/>
    <x v="1"/>
    <x v="3"/>
    <x v="0"/>
    <x v="18"/>
    <x v="92"/>
    <x v="261"/>
    <x v="5"/>
    <n v="29250"/>
  </r>
  <r>
    <x v="0"/>
    <x v="1"/>
    <x v="3"/>
    <x v="5"/>
    <x v="18"/>
    <x v="0"/>
    <x v="262"/>
    <x v="5"/>
    <n v="650"/>
  </r>
  <r>
    <x v="0"/>
    <x v="1"/>
    <x v="3"/>
    <x v="3"/>
    <x v="18"/>
    <x v="166"/>
    <x v="263"/>
    <x v="5"/>
    <n v="29315"/>
  </r>
  <r>
    <x v="0"/>
    <x v="1"/>
    <x v="3"/>
    <x v="1"/>
    <x v="18"/>
    <x v="20"/>
    <x v="264"/>
    <x v="5"/>
    <n v="2925"/>
  </r>
  <r>
    <x v="0"/>
    <x v="1"/>
    <x v="3"/>
    <x v="7"/>
    <x v="18"/>
    <x v="32"/>
    <x v="265"/>
    <x v="5"/>
    <n v="9100"/>
  </r>
  <r>
    <x v="0"/>
    <x v="1"/>
    <x v="3"/>
    <x v="8"/>
    <x v="18"/>
    <x v="167"/>
    <x v="266"/>
    <x v="5"/>
    <n v="18525"/>
  </r>
  <r>
    <x v="0"/>
    <x v="1"/>
    <x v="3"/>
    <x v="9"/>
    <x v="18"/>
    <x v="7"/>
    <x v="130"/>
    <x v="5"/>
    <n v="1300"/>
  </r>
  <r>
    <x v="0"/>
    <x v="1"/>
    <x v="3"/>
    <x v="5"/>
    <x v="19"/>
    <x v="7"/>
    <x v="267"/>
    <x v="5"/>
    <n v="1400"/>
  </r>
  <r>
    <x v="0"/>
    <x v="1"/>
    <x v="3"/>
    <x v="6"/>
    <x v="19"/>
    <x v="3"/>
    <x v="268"/>
    <x v="5"/>
    <n v="3500"/>
  </r>
  <r>
    <x v="0"/>
    <x v="1"/>
    <x v="3"/>
    <x v="9"/>
    <x v="19"/>
    <x v="55"/>
    <x v="269"/>
    <x v="5"/>
    <n v="8400"/>
  </r>
  <r>
    <x v="0"/>
    <x v="1"/>
    <x v="3"/>
    <x v="2"/>
    <x v="20"/>
    <x v="74"/>
    <x v="270"/>
    <x v="5"/>
    <n v="4500"/>
  </r>
  <r>
    <x v="0"/>
    <x v="1"/>
    <x v="3"/>
    <x v="0"/>
    <x v="20"/>
    <x v="19"/>
    <x v="271"/>
    <x v="5"/>
    <n v="10875"/>
  </r>
  <r>
    <x v="0"/>
    <x v="1"/>
    <x v="3"/>
    <x v="3"/>
    <x v="20"/>
    <x v="142"/>
    <x v="272"/>
    <x v="5"/>
    <n v="2475"/>
  </r>
  <r>
    <x v="0"/>
    <x v="1"/>
    <x v="3"/>
    <x v="1"/>
    <x v="20"/>
    <x v="61"/>
    <x v="209"/>
    <x v="5"/>
    <n v="1050"/>
  </r>
  <r>
    <x v="0"/>
    <x v="1"/>
    <x v="3"/>
    <x v="7"/>
    <x v="20"/>
    <x v="3"/>
    <x v="273"/>
    <x v="5"/>
    <n v="3750"/>
  </r>
  <r>
    <x v="0"/>
    <x v="1"/>
    <x v="3"/>
    <x v="8"/>
    <x v="20"/>
    <x v="94"/>
    <x v="274"/>
    <x v="5"/>
    <n v="6000"/>
  </r>
  <r>
    <x v="0"/>
    <x v="1"/>
    <x v="3"/>
    <x v="9"/>
    <x v="21"/>
    <x v="45"/>
    <x v="144"/>
    <x v="5"/>
    <n v="80"/>
  </r>
  <r>
    <x v="0"/>
    <x v="1"/>
    <x v="3"/>
    <x v="1"/>
    <x v="22"/>
    <x v="168"/>
    <x v="275"/>
    <x v="5"/>
    <n v="492"/>
  </r>
  <r>
    <x v="0"/>
    <x v="1"/>
    <x v="3"/>
    <x v="7"/>
    <x v="22"/>
    <x v="45"/>
    <x v="70"/>
    <x v="5"/>
    <n v="82"/>
  </r>
  <r>
    <x v="0"/>
    <x v="1"/>
    <x v="3"/>
    <x v="8"/>
    <x v="22"/>
    <x v="7"/>
    <x v="71"/>
    <x v="5"/>
    <n v="1640"/>
  </r>
  <r>
    <x v="0"/>
    <x v="1"/>
    <x v="3"/>
    <x v="2"/>
    <x v="23"/>
    <x v="58"/>
    <x v="276"/>
    <x v="5"/>
    <n v="3400"/>
  </r>
  <r>
    <x v="0"/>
    <x v="1"/>
    <x v="3"/>
    <x v="3"/>
    <x v="23"/>
    <x v="129"/>
    <x v="277"/>
    <x v="5"/>
    <n v="1020"/>
  </r>
  <r>
    <x v="0"/>
    <x v="1"/>
    <x v="3"/>
    <x v="1"/>
    <x v="23"/>
    <x v="45"/>
    <x v="74"/>
    <x v="5"/>
    <n v="85"/>
  </r>
  <r>
    <x v="0"/>
    <x v="1"/>
    <x v="3"/>
    <x v="7"/>
    <x v="24"/>
    <x v="169"/>
    <x v="278"/>
    <x v="5"/>
    <n v="2408"/>
  </r>
  <r>
    <x v="0"/>
    <x v="1"/>
    <x v="3"/>
    <x v="7"/>
    <x v="25"/>
    <x v="59"/>
    <x v="76"/>
    <x v="5"/>
    <n v="196"/>
  </r>
  <r>
    <x v="0"/>
    <x v="1"/>
    <x v="3"/>
    <x v="1"/>
    <x v="26"/>
    <x v="170"/>
    <x v="279"/>
    <x v="5"/>
    <n v="10"/>
  </r>
  <r>
    <x v="0"/>
    <x v="1"/>
    <x v="4"/>
    <x v="1"/>
    <x v="0"/>
    <x v="1"/>
    <x v="1"/>
    <x v="0"/>
    <n v="351.5"/>
  </r>
  <r>
    <x v="0"/>
    <x v="1"/>
    <x v="4"/>
    <x v="2"/>
    <x v="1"/>
    <x v="43"/>
    <x v="32"/>
    <x v="0"/>
    <n v="0"/>
  </r>
  <r>
    <x v="0"/>
    <x v="1"/>
    <x v="4"/>
    <x v="3"/>
    <x v="2"/>
    <x v="43"/>
    <x v="32"/>
    <x v="0"/>
    <n v="0"/>
  </r>
  <r>
    <x v="0"/>
    <x v="1"/>
    <x v="4"/>
    <x v="2"/>
    <x v="3"/>
    <x v="171"/>
    <x v="280"/>
    <x v="0"/>
    <n v="1015.2"/>
  </r>
  <r>
    <x v="0"/>
    <x v="1"/>
    <x v="4"/>
    <x v="0"/>
    <x v="4"/>
    <x v="32"/>
    <x v="82"/>
    <x v="0"/>
    <n v="3304"/>
  </r>
  <r>
    <x v="0"/>
    <x v="1"/>
    <x v="4"/>
    <x v="4"/>
    <x v="4"/>
    <x v="154"/>
    <x v="281"/>
    <x v="0"/>
    <n v="3776"/>
  </r>
  <r>
    <x v="0"/>
    <x v="1"/>
    <x v="4"/>
    <x v="1"/>
    <x v="4"/>
    <x v="40"/>
    <x v="282"/>
    <x v="0"/>
    <n v="12036"/>
  </r>
  <r>
    <x v="0"/>
    <x v="1"/>
    <x v="4"/>
    <x v="5"/>
    <x v="5"/>
    <x v="159"/>
    <x v="283"/>
    <x v="0"/>
    <n v="7140"/>
  </r>
  <r>
    <x v="0"/>
    <x v="1"/>
    <x v="4"/>
    <x v="0"/>
    <x v="6"/>
    <x v="94"/>
    <x v="284"/>
    <x v="0"/>
    <n v="2240"/>
  </r>
  <r>
    <x v="0"/>
    <x v="1"/>
    <x v="4"/>
    <x v="2"/>
    <x v="7"/>
    <x v="172"/>
    <x v="285"/>
    <x v="0"/>
    <n v="3904"/>
  </r>
  <r>
    <x v="0"/>
    <x v="1"/>
    <x v="4"/>
    <x v="0"/>
    <x v="7"/>
    <x v="80"/>
    <x v="286"/>
    <x v="0"/>
    <n v="36160"/>
  </r>
  <r>
    <x v="0"/>
    <x v="1"/>
    <x v="4"/>
    <x v="6"/>
    <x v="7"/>
    <x v="118"/>
    <x v="287"/>
    <x v="0"/>
    <n v="8000"/>
  </r>
  <r>
    <x v="0"/>
    <x v="1"/>
    <x v="4"/>
    <x v="3"/>
    <x v="7"/>
    <x v="173"/>
    <x v="288"/>
    <x v="0"/>
    <n v="39136"/>
  </r>
  <r>
    <x v="0"/>
    <x v="1"/>
    <x v="4"/>
    <x v="4"/>
    <x v="7"/>
    <x v="174"/>
    <x v="289"/>
    <x v="0"/>
    <n v="33344"/>
  </r>
  <r>
    <x v="0"/>
    <x v="1"/>
    <x v="4"/>
    <x v="1"/>
    <x v="7"/>
    <x v="175"/>
    <x v="290"/>
    <x v="0"/>
    <n v="31616"/>
  </r>
  <r>
    <x v="0"/>
    <x v="1"/>
    <x v="4"/>
    <x v="7"/>
    <x v="7"/>
    <x v="176"/>
    <x v="291"/>
    <x v="0"/>
    <n v="4128"/>
  </r>
  <r>
    <x v="0"/>
    <x v="1"/>
    <x v="4"/>
    <x v="8"/>
    <x v="7"/>
    <x v="177"/>
    <x v="292"/>
    <x v="0"/>
    <n v="25280"/>
  </r>
  <r>
    <x v="0"/>
    <x v="1"/>
    <x v="4"/>
    <x v="9"/>
    <x v="7"/>
    <x v="8"/>
    <x v="10"/>
    <x v="0"/>
    <n v="3200"/>
  </r>
  <r>
    <x v="0"/>
    <x v="1"/>
    <x v="4"/>
    <x v="2"/>
    <x v="8"/>
    <x v="7"/>
    <x v="293"/>
    <x v="1"/>
    <n v="780"/>
  </r>
  <r>
    <x v="0"/>
    <x v="1"/>
    <x v="4"/>
    <x v="5"/>
    <x v="8"/>
    <x v="155"/>
    <x v="294"/>
    <x v="1"/>
    <n v="19110"/>
  </r>
  <r>
    <x v="0"/>
    <x v="1"/>
    <x v="4"/>
    <x v="1"/>
    <x v="9"/>
    <x v="178"/>
    <x v="295"/>
    <x v="2"/>
    <n v="50840"/>
  </r>
  <r>
    <x v="0"/>
    <x v="1"/>
    <x v="4"/>
    <x v="8"/>
    <x v="9"/>
    <x v="179"/>
    <x v="296"/>
    <x v="2"/>
    <n v="3400"/>
  </r>
  <r>
    <x v="0"/>
    <x v="1"/>
    <x v="4"/>
    <x v="9"/>
    <x v="9"/>
    <x v="43"/>
    <x v="32"/>
    <x v="2"/>
    <n v="0"/>
  </r>
  <r>
    <x v="0"/>
    <x v="1"/>
    <x v="4"/>
    <x v="9"/>
    <x v="10"/>
    <x v="8"/>
    <x v="297"/>
    <x v="2"/>
    <n v="4150"/>
  </r>
  <r>
    <x v="0"/>
    <x v="1"/>
    <x v="4"/>
    <x v="2"/>
    <x v="11"/>
    <x v="47"/>
    <x v="172"/>
    <x v="2"/>
    <n v="25800"/>
  </r>
  <r>
    <x v="0"/>
    <x v="1"/>
    <x v="4"/>
    <x v="0"/>
    <x v="11"/>
    <x v="180"/>
    <x v="298"/>
    <x v="2"/>
    <n v="59770"/>
  </r>
  <r>
    <x v="0"/>
    <x v="1"/>
    <x v="4"/>
    <x v="5"/>
    <x v="11"/>
    <x v="31"/>
    <x v="299"/>
    <x v="2"/>
    <n v="14620"/>
  </r>
  <r>
    <x v="0"/>
    <x v="1"/>
    <x v="4"/>
    <x v="3"/>
    <x v="11"/>
    <x v="181"/>
    <x v="300"/>
    <x v="2"/>
    <n v="18103"/>
  </r>
  <r>
    <x v="0"/>
    <x v="1"/>
    <x v="4"/>
    <x v="4"/>
    <x v="11"/>
    <x v="72"/>
    <x v="301"/>
    <x v="2"/>
    <n v="17200"/>
  </r>
  <r>
    <x v="0"/>
    <x v="1"/>
    <x v="4"/>
    <x v="1"/>
    <x v="11"/>
    <x v="182"/>
    <x v="302"/>
    <x v="2"/>
    <n v="10793"/>
  </r>
  <r>
    <x v="0"/>
    <x v="1"/>
    <x v="4"/>
    <x v="7"/>
    <x v="11"/>
    <x v="183"/>
    <x v="303"/>
    <x v="2"/>
    <n v="16770"/>
  </r>
  <r>
    <x v="0"/>
    <x v="1"/>
    <x v="4"/>
    <x v="9"/>
    <x v="12"/>
    <x v="0"/>
    <x v="179"/>
    <x v="3"/>
    <n v="450"/>
  </r>
  <r>
    <x v="0"/>
    <x v="1"/>
    <x v="4"/>
    <x v="0"/>
    <x v="13"/>
    <x v="7"/>
    <x v="304"/>
    <x v="3"/>
    <n v="980"/>
  </r>
  <r>
    <x v="0"/>
    <x v="1"/>
    <x v="4"/>
    <x v="3"/>
    <x v="13"/>
    <x v="7"/>
    <x v="304"/>
    <x v="3"/>
    <n v="980"/>
  </r>
  <r>
    <x v="0"/>
    <x v="1"/>
    <x v="4"/>
    <x v="7"/>
    <x v="13"/>
    <x v="184"/>
    <x v="305"/>
    <x v="3"/>
    <n v="11025"/>
  </r>
  <r>
    <x v="0"/>
    <x v="1"/>
    <x v="4"/>
    <x v="8"/>
    <x v="13"/>
    <x v="41"/>
    <x v="306"/>
    <x v="3"/>
    <n v="5390"/>
  </r>
  <r>
    <x v="0"/>
    <x v="1"/>
    <x v="4"/>
    <x v="2"/>
    <x v="14"/>
    <x v="14"/>
    <x v="307"/>
    <x v="3"/>
    <n v="17750"/>
  </r>
  <r>
    <x v="0"/>
    <x v="1"/>
    <x v="4"/>
    <x v="5"/>
    <x v="14"/>
    <x v="185"/>
    <x v="308"/>
    <x v="3"/>
    <n v="17500"/>
  </r>
  <r>
    <x v="0"/>
    <x v="1"/>
    <x v="4"/>
    <x v="6"/>
    <x v="14"/>
    <x v="186"/>
    <x v="309"/>
    <x v="3"/>
    <n v="31500"/>
  </r>
  <r>
    <x v="0"/>
    <x v="1"/>
    <x v="4"/>
    <x v="4"/>
    <x v="14"/>
    <x v="159"/>
    <x v="245"/>
    <x v="3"/>
    <n v="15000"/>
  </r>
  <r>
    <x v="0"/>
    <x v="1"/>
    <x v="4"/>
    <x v="1"/>
    <x v="14"/>
    <x v="187"/>
    <x v="310"/>
    <x v="3"/>
    <n v="36200"/>
  </r>
  <r>
    <x v="0"/>
    <x v="1"/>
    <x v="4"/>
    <x v="7"/>
    <x v="14"/>
    <x v="43"/>
    <x v="32"/>
    <x v="3"/>
    <n v="0"/>
  </r>
  <r>
    <x v="0"/>
    <x v="1"/>
    <x v="4"/>
    <x v="2"/>
    <x v="15"/>
    <x v="188"/>
    <x v="311"/>
    <x v="4"/>
    <n v="17215"/>
  </r>
  <r>
    <x v="0"/>
    <x v="1"/>
    <x v="4"/>
    <x v="0"/>
    <x v="15"/>
    <x v="97"/>
    <x v="188"/>
    <x v="4"/>
    <n v="34100"/>
  </r>
  <r>
    <x v="0"/>
    <x v="1"/>
    <x v="4"/>
    <x v="5"/>
    <x v="15"/>
    <x v="8"/>
    <x v="312"/>
    <x v="4"/>
    <n v="5500"/>
  </r>
  <r>
    <x v="0"/>
    <x v="1"/>
    <x v="4"/>
    <x v="3"/>
    <x v="15"/>
    <x v="189"/>
    <x v="313"/>
    <x v="4"/>
    <n v="60500"/>
  </r>
  <r>
    <x v="0"/>
    <x v="1"/>
    <x v="4"/>
    <x v="4"/>
    <x v="15"/>
    <x v="190"/>
    <x v="314"/>
    <x v="4"/>
    <n v="4070"/>
  </r>
  <r>
    <x v="0"/>
    <x v="1"/>
    <x v="4"/>
    <x v="7"/>
    <x v="15"/>
    <x v="31"/>
    <x v="315"/>
    <x v="4"/>
    <n v="18700"/>
  </r>
  <r>
    <x v="0"/>
    <x v="1"/>
    <x v="4"/>
    <x v="8"/>
    <x v="15"/>
    <x v="191"/>
    <x v="316"/>
    <x v="4"/>
    <n v="32615"/>
  </r>
  <r>
    <x v="0"/>
    <x v="1"/>
    <x v="4"/>
    <x v="5"/>
    <x v="16"/>
    <x v="94"/>
    <x v="123"/>
    <x v="4"/>
    <n v="4640"/>
  </r>
  <r>
    <x v="0"/>
    <x v="1"/>
    <x v="4"/>
    <x v="6"/>
    <x v="16"/>
    <x v="140"/>
    <x v="317"/>
    <x v="4"/>
    <n v="8990"/>
  </r>
  <r>
    <x v="0"/>
    <x v="1"/>
    <x v="4"/>
    <x v="4"/>
    <x v="16"/>
    <x v="16"/>
    <x v="256"/>
    <x v="4"/>
    <n v="4060"/>
  </r>
  <r>
    <x v="0"/>
    <x v="1"/>
    <x v="4"/>
    <x v="1"/>
    <x v="16"/>
    <x v="192"/>
    <x v="318"/>
    <x v="4"/>
    <n v="2842"/>
  </r>
  <r>
    <x v="0"/>
    <x v="1"/>
    <x v="4"/>
    <x v="9"/>
    <x v="17"/>
    <x v="158"/>
    <x v="319"/>
    <x v="4"/>
    <n v="6300"/>
  </r>
  <r>
    <x v="0"/>
    <x v="1"/>
    <x v="4"/>
    <x v="2"/>
    <x v="18"/>
    <x v="193"/>
    <x v="320"/>
    <x v="5"/>
    <n v="13260"/>
  </r>
  <r>
    <x v="0"/>
    <x v="1"/>
    <x v="4"/>
    <x v="0"/>
    <x v="18"/>
    <x v="194"/>
    <x v="321"/>
    <x v="5"/>
    <n v="48750"/>
  </r>
  <r>
    <x v="0"/>
    <x v="1"/>
    <x v="4"/>
    <x v="5"/>
    <x v="18"/>
    <x v="43"/>
    <x v="32"/>
    <x v="5"/>
    <n v="0"/>
  </r>
  <r>
    <x v="0"/>
    <x v="1"/>
    <x v="4"/>
    <x v="3"/>
    <x v="18"/>
    <x v="195"/>
    <x v="322"/>
    <x v="5"/>
    <n v="21775"/>
  </r>
  <r>
    <x v="0"/>
    <x v="1"/>
    <x v="4"/>
    <x v="1"/>
    <x v="18"/>
    <x v="196"/>
    <x v="323"/>
    <x v="5"/>
    <n v="2990"/>
  </r>
  <r>
    <x v="0"/>
    <x v="1"/>
    <x v="4"/>
    <x v="7"/>
    <x v="18"/>
    <x v="26"/>
    <x v="324"/>
    <x v="5"/>
    <n v="6175"/>
  </r>
  <r>
    <x v="0"/>
    <x v="1"/>
    <x v="4"/>
    <x v="8"/>
    <x v="18"/>
    <x v="197"/>
    <x v="325"/>
    <x v="5"/>
    <n v="31525"/>
  </r>
  <r>
    <x v="0"/>
    <x v="1"/>
    <x v="4"/>
    <x v="9"/>
    <x v="18"/>
    <x v="20"/>
    <x v="264"/>
    <x v="5"/>
    <n v="2925"/>
  </r>
  <r>
    <x v="0"/>
    <x v="1"/>
    <x v="4"/>
    <x v="5"/>
    <x v="19"/>
    <x v="198"/>
    <x v="326"/>
    <x v="5"/>
    <n v="1540"/>
  </r>
  <r>
    <x v="0"/>
    <x v="1"/>
    <x v="4"/>
    <x v="6"/>
    <x v="19"/>
    <x v="74"/>
    <x v="204"/>
    <x v="5"/>
    <n v="4200"/>
  </r>
  <r>
    <x v="0"/>
    <x v="1"/>
    <x v="4"/>
    <x v="9"/>
    <x v="19"/>
    <x v="41"/>
    <x v="327"/>
    <x v="5"/>
    <n v="7700"/>
  </r>
  <r>
    <x v="0"/>
    <x v="1"/>
    <x v="4"/>
    <x v="2"/>
    <x v="20"/>
    <x v="29"/>
    <x v="62"/>
    <x v="5"/>
    <n v="2250"/>
  </r>
  <r>
    <x v="0"/>
    <x v="1"/>
    <x v="4"/>
    <x v="0"/>
    <x v="20"/>
    <x v="140"/>
    <x v="207"/>
    <x v="5"/>
    <n v="11625"/>
  </r>
  <r>
    <x v="0"/>
    <x v="1"/>
    <x v="4"/>
    <x v="3"/>
    <x v="20"/>
    <x v="55"/>
    <x v="63"/>
    <x v="5"/>
    <n v="9000"/>
  </r>
  <r>
    <x v="0"/>
    <x v="1"/>
    <x v="4"/>
    <x v="1"/>
    <x v="20"/>
    <x v="168"/>
    <x v="328"/>
    <x v="5"/>
    <n v="450"/>
  </r>
  <r>
    <x v="0"/>
    <x v="1"/>
    <x v="4"/>
    <x v="7"/>
    <x v="20"/>
    <x v="58"/>
    <x v="66"/>
    <x v="5"/>
    <n v="3000"/>
  </r>
  <r>
    <x v="0"/>
    <x v="1"/>
    <x v="4"/>
    <x v="8"/>
    <x v="20"/>
    <x v="55"/>
    <x v="63"/>
    <x v="5"/>
    <n v="9000"/>
  </r>
  <r>
    <x v="0"/>
    <x v="1"/>
    <x v="4"/>
    <x v="9"/>
    <x v="21"/>
    <x v="45"/>
    <x v="144"/>
    <x v="5"/>
    <n v="80"/>
  </r>
  <r>
    <x v="0"/>
    <x v="1"/>
    <x v="4"/>
    <x v="1"/>
    <x v="22"/>
    <x v="199"/>
    <x v="329"/>
    <x v="5"/>
    <n v="328"/>
  </r>
  <r>
    <x v="0"/>
    <x v="1"/>
    <x v="4"/>
    <x v="7"/>
    <x v="22"/>
    <x v="43"/>
    <x v="32"/>
    <x v="5"/>
    <n v="0"/>
  </r>
  <r>
    <x v="0"/>
    <x v="1"/>
    <x v="4"/>
    <x v="8"/>
    <x v="22"/>
    <x v="53"/>
    <x v="330"/>
    <x v="5"/>
    <n v="2870"/>
  </r>
  <r>
    <x v="0"/>
    <x v="1"/>
    <x v="4"/>
    <x v="2"/>
    <x v="23"/>
    <x v="3"/>
    <x v="331"/>
    <x v="5"/>
    <n v="4250"/>
  </r>
  <r>
    <x v="0"/>
    <x v="1"/>
    <x v="4"/>
    <x v="3"/>
    <x v="23"/>
    <x v="200"/>
    <x v="332"/>
    <x v="5"/>
    <n v="1105"/>
  </r>
  <r>
    <x v="0"/>
    <x v="1"/>
    <x v="4"/>
    <x v="1"/>
    <x v="23"/>
    <x v="201"/>
    <x v="333"/>
    <x v="5"/>
    <n v="17"/>
  </r>
  <r>
    <x v="0"/>
    <x v="1"/>
    <x v="4"/>
    <x v="7"/>
    <x v="24"/>
    <x v="202"/>
    <x v="334"/>
    <x v="5"/>
    <n v="3096"/>
  </r>
  <r>
    <x v="0"/>
    <x v="1"/>
    <x v="4"/>
    <x v="7"/>
    <x v="25"/>
    <x v="45"/>
    <x v="335"/>
    <x v="5"/>
    <n v="98"/>
  </r>
  <r>
    <x v="0"/>
    <x v="1"/>
    <x v="4"/>
    <x v="1"/>
    <x v="26"/>
    <x v="203"/>
    <x v="336"/>
    <x v="5"/>
    <n v="40"/>
  </r>
  <r>
    <x v="0"/>
    <x v="1"/>
    <x v="5"/>
    <x v="1"/>
    <x v="0"/>
    <x v="60"/>
    <x v="337"/>
    <x v="0"/>
    <n v="203.5"/>
  </r>
  <r>
    <x v="0"/>
    <x v="1"/>
    <x v="5"/>
    <x v="2"/>
    <x v="1"/>
    <x v="43"/>
    <x v="32"/>
    <x v="0"/>
    <n v="0"/>
  </r>
  <r>
    <x v="0"/>
    <x v="1"/>
    <x v="5"/>
    <x v="3"/>
    <x v="2"/>
    <x v="168"/>
    <x v="338"/>
    <x v="0"/>
    <n v="129"/>
  </r>
  <r>
    <x v="0"/>
    <x v="1"/>
    <x v="5"/>
    <x v="2"/>
    <x v="3"/>
    <x v="17"/>
    <x v="339"/>
    <x v="0"/>
    <n v="1144.8000000000002"/>
  </r>
  <r>
    <x v="0"/>
    <x v="1"/>
    <x v="5"/>
    <x v="0"/>
    <x v="4"/>
    <x v="16"/>
    <x v="340"/>
    <x v="0"/>
    <n v="1652"/>
  </r>
  <r>
    <x v="0"/>
    <x v="1"/>
    <x v="5"/>
    <x v="4"/>
    <x v="4"/>
    <x v="204"/>
    <x v="341"/>
    <x v="0"/>
    <n v="6490"/>
  </r>
  <r>
    <x v="0"/>
    <x v="1"/>
    <x v="5"/>
    <x v="1"/>
    <x v="4"/>
    <x v="205"/>
    <x v="342"/>
    <x v="0"/>
    <n v="5876.4000000000005"/>
  </r>
  <r>
    <x v="0"/>
    <x v="1"/>
    <x v="5"/>
    <x v="5"/>
    <x v="5"/>
    <x v="185"/>
    <x v="343"/>
    <x v="0"/>
    <n v="8330"/>
  </r>
  <r>
    <x v="0"/>
    <x v="1"/>
    <x v="5"/>
    <x v="0"/>
    <x v="6"/>
    <x v="179"/>
    <x v="344"/>
    <x v="0"/>
    <n v="2380"/>
  </r>
  <r>
    <x v="0"/>
    <x v="1"/>
    <x v="5"/>
    <x v="2"/>
    <x v="7"/>
    <x v="19"/>
    <x v="345"/>
    <x v="0"/>
    <n v="4640"/>
  </r>
  <r>
    <x v="0"/>
    <x v="1"/>
    <x v="5"/>
    <x v="0"/>
    <x v="7"/>
    <x v="206"/>
    <x v="346"/>
    <x v="0"/>
    <n v="30080"/>
  </r>
  <r>
    <x v="0"/>
    <x v="1"/>
    <x v="5"/>
    <x v="6"/>
    <x v="7"/>
    <x v="10"/>
    <x v="12"/>
    <x v="0"/>
    <n v="7360"/>
  </r>
  <r>
    <x v="0"/>
    <x v="1"/>
    <x v="5"/>
    <x v="3"/>
    <x v="7"/>
    <x v="91"/>
    <x v="347"/>
    <x v="0"/>
    <n v="34240"/>
  </r>
  <r>
    <x v="0"/>
    <x v="1"/>
    <x v="5"/>
    <x v="4"/>
    <x v="7"/>
    <x v="207"/>
    <x v="348"/>
    <x v="0"/>
    <n v="37120"/>
  </r>
  <r>
    <x v="0"/>
    <x v="1"/>
    <x v="5"/>
    <x v="1"/>
    <x v="7"/>
    <x v="208"/>
    <x v="349"/>
    <x v="0"/>
    <n v="33248"/>
  </r>
  <r>
    <x v="0"/>
    <x v="1"/>
    <x v="5"/>
    <x v="7"/>
    <x v="7"/>
    <x v="209"/>
    <x v="350"/>
    <x v="0"/>
    <n v="13312"/>
  </r>
  <r>
    <x v="0"/>
    <x v="1"/>
    <x v="5"/>
    <x v="8"/>
    <x v="7"/>
    <x v="210"/>
    <x v="351"/>
    <x v="0"/>
    <n v="32064"/>
  </r>
  <r>
    <x v="0"/>
    <x v="1"/>
    <x v="5"/>
    <x v="9"/>
    <x v="7"/>
    <x v="51"/>
    <x v="352"/>
    <x v="0"/>
    <n v="5440"/>
  </r>
  <r>
    <x v="0"/>
    <x v="1"/>
    <x v="5"/>
    <x v="2"/>
    <x v="8"/>
    <x v="29"/>
    <x v="353"/>
    <x v="1"/>
    <n v="1170"/>
  </r>
  <r>
    <x v="0"/>
    <x v="1"/>
    <x v="5"/>
    <x v="5"/>
    <x v="8"/>
    <x v="86"/>
    <x v="168"/>
    <x v="1"/>
    <n v="12480"/>
  </r>
  <r>
    <x v="0"/>
    <x v="1"/>
    <x v="5"/>
    <x v="1"/>
    <x v="9"/>
    <x v="211"/>
    <x v="354"/>
    <x v="2"/>
    <n v="46320"/>
  </r>
  <r>
    <x v="0"/>
    <x v="1"/>
    <x v="5"/>
    <x v="8"/>
    <x v="9"/>
    <x v="7"/>
    <x v="23"/>
    <x v="2"/>
    <n v="800"/>
  </r>
  <r>
    <x v="0"/>
    <x v="1"/>
    <x v="5"/>
    <x v="9"/>
    <x v="9"/>
    <x v="38"/>
    <x v="355"/>
    <x v="2"/>
    <n v="200"/>
  </r>
  <r>
    <x v="0"/>
    <x v="1"/>
    <x v="5"/>
    <x v="9"/>
    <x v="10"/>
    <x v="51"/>
    <x v="356"/>
    <x v="2"/>
    <n v="7055"/>
  </r>
  <r>
    <x v="0"/>
    <x v="1"/>
    <x v="5"/>
    <x v="2"/>
    <x v="11"/>
    <x v="212"/>
    <x v="357"/>
    <x v="2"/>
    <n v="28810"/>
  </r>
  <r>
    <x v="0"/>
    <x v="1"/>
    <x v="5"/>
    <x v="0"/>
    <x v="11"/>
    <x v="213"/>
    <x v="358"/>
    <x v="2"/>
    <n v="60200"/>
  </r>
  <r>
    <x v="0"/>
    <x v="1"/>
    <x v="5"/>
    <x v="5"/>
    <x v="11"/>
    <x v="159"/>
    <x v="359"/>
    <x v="2"/>
    <n v="12900"/>
  </r>
  <r>
    <x v="0"/>
    <x v="1"/>
    <x v="5"/>
    <x v="3"/>
    <x v="11"/>
    <x v="214"/>
    <x v="360"/>
    <x v="2"/>
    <n v="18490"/>
  </r>
  <r>
    <x v="0"/>
    <x v="1"/>
    <x v="5"/>
    <x v="4"/>
    <x v="11"/>
    <x v="215"/>
    <x v="361"/>
    <x v="2"/>
    <n v="17501"/>
  </r>
  <r>
    <x v="0"/>
    <x v="1"/>
    <x v="5"/>
    <x v="1"/>
    <x v="11"/>
    <x v="216"/>
    <x v="362"/>
    <x v="2"/>
    <n v="11782"/>
  </r>
  <r>
    <x v="0"/>
    <x v="1"/>
    <x v="5"/>
    <x v="7"/>
    <x v="11"/>
    <x v="217"/>
    <x v="363"/>
    <x v="2"/>
    <n v="22575"/>
  </r>
  <r>
    <x v="0"/>
    <x v="1"/>
    <x v="5"/>
    <x v="9"/>
    <x v="12"/>
    <x v="38"/>
    <x v="364"/>
    <x v="3"/>
    <n v="225"/>
  </r>
  <r>
    <x v="0"/>
    <x v="1"/>
    <x v="5"/>
    <x v="0"/>
    <x v="13"/>
    <x v="135"/>
    <x v="365"/>
    <x v="3"/>
    <n v="1127"/>
  </r>
  <r>
    <x v="0"/>
    <x v="1"/>
    <x v="5"/>
    <x v="3"/>
    <x v="13"/>
    <x v="48"/>
    <x v="242"/>
    <x v="3"/>
    <n v="1225"/>
  </r>
  <r>
    <x v="0"/>
    <x v="1"/>
    <x v="5"/>
    <x v="7"/>
    <x v="13"/>
    <x v="76"/>
    <x v="366"/>
    <x v="3"/>
    <n v="13230"/>
  </r>
  <r>
    <x v="0"/>
    <x v="1"/>
    <x v="5"/>
    <x v="8"/>
    <x v="13"/>
    <x v="218"/>
    <x v="367"/>
    <x v="3"/>
    <n v="4998"/>
  </r>
  <r>
    <x v="0"/>
    <x v="1"/>
    <x v="5"/>
    <x v="2"/>
    <x v="14"/>
    <x v="31"/>
    <x v="368"/>
    <x v="3"/>
    <n v="17000"/>
  </r>
  <r>
    <x v="0"/>
    <x v="1"/>
    <x v="5"/>
    <x v="5"/>
    <x v="14"/>
    <x v="194"/>
    <x v="369"/>
    <x v="3"/>
    <n v="37500"/>
  </r>
  <r>
    <x v="0"/>
    <x v="1"/>
    <x v="5"/>
    <x v="6"/>
    <x v="14"/>
    <x v="212"/>
    <x v="370"/>
    <x v="3"/>
    <n v="33500"/>
  </r>
  <r>
    <x v="0"/>
    <x v="1"/>
    <x v="5"/>
    <x v="4"/>
    <x v="14"/>
    <x v="185"/>
    <x v="308"/>
    <x v="3"/>
    <n v="17500"/>
  </r>
  <r>
    <x v="0"/>
    <x v="1"/>
    <x v="5"/>
    <x v="1"/>
    <x v="14"/>
    <x v="219"/>
    <x v="371"/>
    <x v="3"/>
    <n v="37150"/>
  </r>
  <r>
    <x v="0"/>
    <x v="1"/>
    <x v="5"/>
    <x v="7"/>
    <x v="14"/>
    <x v="43"/>
    <x v="32"/>
    <x v="3"/>
    <n v="0"/>
  </r>
  <r>
    <x v="0"/>
    <x v="1"/>
    <x v="5"/>
    <x v="2"/>
    <x v="15"/>
    <x v="86"/>
    <x v="255"/>
    <x v="4"/>
    <n v="17600"/>
  </r>
  <r>
    <x v="0"/>
    <x v="1"/>
    <x v="5"/>
    <x v="0"/>
    <x v="15"/>
    <x v="47"/>
    <x v="372"/>
    <x v="4"/>
    <n v="33000"/>
  </r>
  <r>
    <x v="0"/>
    <x v="1"/>
    <x v="5"/>
    <x v="5"/>
    <x v="15"/>
    <x v="65"/>
    <x v="373"/>
    <x v="4"/>
    <n v="4125"/>
  </r>
  <r>
    <x v="0"/>
    <x v="1"/>
    <x v="5"/>
    <x v="3"/>
    <x v="15"/>
    <x v="220"/>
    <x v="374"/>
    <x v="4"/>
    <n v="59400"/>
  </r>
  <r>
    <x v="0"/>
    <x v="1"/>
    <x v="5"/>
    <x v="4"/>
    <x v="15"/>
    <x v="16"/>
    <x v="375"/>
    <x v="4"/>
    <n v="3850"/>
  </r>
  <r>
    <x v="0"/>
    <x v="1"/>
    <x v="5"/>
    <x v="7"/>
    <x v="15"/>
    <x v="130"/>
    <x v="191"/>
    <x v="4"/>
    <n v="33550"/>
  </r>
  <r>
    <x v="0"/>
    <x v="1"/>
    <x v="5"/>
    <x v="8"/>
    <x v="15"/>
    <x v="221"/>
    <x v="376"/>
    <x v="4"/>
    <n v="40150"/>
  </r>
  <r>
    <x v="0"/>
    <x v="1"/>
    <x v="5"/>
    <x v="5"/>
    <x v="16"/>
    <x v="41"/>
    <x v="377"/>
    <x v="4"/>
    <n v="6380"/>
  </r>
  <r>
    <x v="0"/>
    <x v="1"/>
    <x v="5"/>
    <x v="6"/>
    <x v="16"/>
    <x v="81"/>
    <x v="378"/>
    <x v="4"/>
    <n v="11600"/>
  </r>
  <r>
    <x v="0"/>
    <x v="1"/>
    <x v="5"/>
    <x v="4"/>
    <x v="16"/>
    <x v="94"/>
    <x v="123"/>
    <x v="4"/>
    <n v="4640"/>
  </r>
  <r>
    <x v="0"/>
    <x v="1"/>
    <x v="5"/>
    <x v="1"/>
    <x v="16"/>
    <x v="106"/>
    <x v="379"/>
    <x v="4"/>
    <n v="3248"/>
  </r>
  <r>
    <x v="0"/>
    <x v="1"/>
    <x v="5"/>
    <x v="9"/>
    <x v="17"/>
    <x v="109"/>
    <x v="380"/>
    <x v="4"/>
    <n v="5400"/>
  </r>
  <r>
    <x v="0"/>
    <x v="1"/>
    <x v="5"/>
    <x v="2"/>
    <x v="18"/>
    <x v="100"/>
    <x v="133"/>
    <x v="5"/>
    <n v="13650"/>
  </r>
  <r>
    <x v="0"/>
    <x v="1"/>
    <x v="5"/>
    <x v="0"/>
    <x v="18"/>
    <x v="212"/>
    <x v="381"/>
    <x v="5"/>
    <n v="43550"/>
  </r>
  <r>
    <x v="0"/>
    <x v="1"/>
    <x v="5"/>
    <x v="5"/>
    <x v="18"/>
    <x v="43"/>
    <x v="32"/>
    <x v="5"/>
    <n v="0"/>
  </r>
  <r>
    <x v="0"/>
    <x v="1"/>
    <x v="5"/>
    <x v="3"/>
    <x v="18"/>
    <x v="183"/>
    <x v="382"/>
    <x v="5"/>
    <n v="25350"/>
  </r>
  <r>
    <x v="0"/>
    <x v="1"/>
    <x v="5"/>
    <x v="1"/>
    <x v="18"/>
    <x v="165"/>
    <x v="383"/>
    <x v="5"/>
    <n v="4095"/>
  </r>
  <r>
    <x v="0"/>
    <x v="1"/>
    <x v="5"/>
    <x v="7"/>
    <x v="18"/>
    <x v="81"/>
    <x v="201"/>
    <x v="5"/>
    <n v="13000"/>
  </r>
  <r>
    <x v="0"/>
    <x v="1"/>
    <x v="5"/>
    <x v="8"/>
    <x v="18"/>
    <x v="222"/>
    <x v="384"/>
    <x v="5"/>
    <n v="29575"/>
  </r>
  <r>
    <x v="0"/>
    <x v="1"/>
    <x v="5"/>
    <x v="9"/>
    <x v="18"/>
    <x v="55"/>
    <x v="385"/>
    <x v="5"/>
    <n v="7800"/>
  </r>
  <r>
    <x v="0"/>
    <x v="1"/>
    <x v="5"/>
    <x v="5"/>
    <x v="19"/>
    <x v="58"/>
    <x v="386"/>
    <x v="5"/>
    <n v="2800"/>
  </r>
  <r>
    <x v="0"/>
    <x v="1"/>
    <x v="5"/>
    <x v="6"/>
    <x v="19"/>
    <x v="109"/>
    <x v="387"/>
    <x v="5"/>
    <n v="6300"/>
  </r>
  <r>
    <x v="0"/>
    <x v="1"/>
    <x v="5"/>
    <x v="9"/>
    <x v="19"/>
    <x v="103"/>
    <x v="137"/>
    <x v="5"/>
    <n v="8750"/>
  </r>
  <r>
    <x v="0"/>
    <x v="1"/>
    <x v="5"/>
    <x v="2"/>
    <x v="20"/>
    <x v="108"/>
    <x v="388"/>
    <x v="5"/>
    <n v="2175"/>
  </r>
  <r>
    <x v="0"/>
    <x v="1"/>
    <x v="5"/>
    <x v="0"/>
    <x v="20"/>
    <x v="36"/>
    <x v="389"/>
    <x v="5"/>
    <n v="14250"/>
  </r>
  <r>
    <x v="0"/>
    <x v="1"/>
    <x v="5"/>
    <x v="3"/>
    <x v="20"/>
    <x v="103"/>
    <x v="390"/>
    <x v="5"/>
    <n v="9375"/>
  </r>
  <r>
    <x v="0"/>
    <x v="1"/>
    <x v="5"/>
    <x v="1"/>
    <x v="20"/>
    <x v="0"/>
    <x v="391"/>
    <x v="5"/>
    <n v="750"/>
  </r>
  <r>
    <x v="0"/>
    <x v="1"/>
    <x v="5"/>
    <x v="7"/>
    <x v="20"/>
    <x v="30"/>
    <x v="392"/>
    <x v="5"/>
    <n v="4125"/>
  </r>
  <r>
    <x v="0"/>
    <x v="1"/>
    <x v="5"/>
    <x v="8"/>
    <x v="20"/>
    <x v="23"/>
    <x v="393"/>
    <x v="5"/>
    <n v="11250"/>
  </r>
  <r>
    <x v="0"/>
    <x v="1"/>
    <x v="5"/>
    <x v="9"/>
    <x v="21"/>
    <x v="43"/>
    <x v="32"/>
    <x v="5"/>
    <n v="0"/>
  </r>
  <r>
    <x v="0"/>
    <x v="1"/>
    <x v="5"/>
    <x v="1"/>
    <x v="22"/>
    <x v="223"/>
    <x v="394"/>
    <x v="5"/>
    <n v="1394"/>
  </r>
  <r>
    <x v="0"/>
    <x v="1"/>
    <x v="5"/>
    <x v="7"/>
    <x v="22"/>
    <x v="43"/>
    <x v="32"/>
    <x v="5"/>
    <n v="0"/>
  </r>
  <r>
    <x v="0"/>
    <x v="1"/>
    <x v="5"/>
    <x v="8"/>
    <x v="22"/>
    <x v="58"/>
    <x v="395"/>
    <x v="5"/>
    <n v="3280"/>
  </r>
  <r>
    <x v="0"/>
    <x v="1"/>
    <x v="5"/>
    <x v="2"/>
    <x v="23"/>
    <x v="224"/>
    <x v="396"/>
    <x v="5"/>
    <n v="4420"/>
  </r>
  <r>
    <x v="0"/>
    <x v="1"/>
    <x v="5"/>
    <x v="3"/>
    <x v="23"/>
    <x v="200"/>
    <x v="332"/>
    <x v="5"/>
    <n v="1105"/>
  </r>
  <r>
    <x v="0"/>
    <x v="1"/>
    <x v="5"/>
    <x v="1"/>
    <x v="23"/>
    <x v="203"/>
    <x v="397"/>
    <x v="5"/>
    <n v="34"/>
  </r>
  <r>
    <x v="0"/>
    <x v="1"/>
    <x v="5"/>
    <x v="7"/>
    <x v="24"/>
    <x v="20"/>
    <x v="398"/>
    <x v="5"/>
    <n v="3870"/>
  </r>
  <r>
    <x v="0"/>
    <x v="1"/>
    <x v="5"/>
    <x v="7"/>
    <x v="25"/>
    <x v="45"/>
    <x v="335"/>
    <x v="5"/>
    <n v="98"/>
  </r>
  <r>
    <x v="0"/>
    <x v="1"/>
    <x v="5"/>
    <x v="1"/>
    <x v="26"/>
    <x v="201"/>
    <x v="399"/>
    <x v="5"/>
    <n v="20"/>
  </r>
  <r>
    <x v="0"/>
    <x v="2"/>
    <x v="6"/>
    <x v="1"/>
    <x v="0"/>
    <x v="57"/>
    <x v="400"/>
    <x v="0"/>
    <n v="166.5"/>
  </r>
  <r>
    <x v="0"/>
    <x v="2"/>
    <x v="6"/>
    <x v="2"/>
    <x v="1"/>
    <x v="43"/>
    <x v="32"/>
    <x v="0"/>
    <n v="0"/>
  </r>
  <r>
    <x v="0"/>
    <x v="2"/>
    <x v="6"/>
    <x v="3"/>
    <x v="2"/>
    <x v="43"/>
    <x v="32"/>
    <x v="0"/>
    <n v="0"/>
  </r>
  <r>
    <x v="0"/>
    <x v="2"/>
    <x v="6"/>
    <x v="2"/>
    <x v="3"/>
    <x v="3"/>
    <x v="401"/>
    <x v="0"/>
    <n v="1080"/>
  </r>
  <r>
    <x v="0"/>
    <x v="2"/>
    <x v="6"/>
    <x v="0"/>
    <x v="4"/>
    <x v="43"/>
    <x v="32"/>
    <x v="0"/>
    <n v="0"/>
  </r>
  <r>
    <x v="0"/>
    <x v="2"/>
    <x v="6"/>
    <x v="4"/>
    <x v="4"/>
    <x v="81"/>
    <x v="219"/>
    <x v="0"/>
    <n v="4720"/>
  </r>
  <r>
    <x v="0"/>
    <x v="2"/>
    <x v="6"/>
    <x v="1"/>
    <x v="4"/>
    <x v="86"/>
    <x v="402"/>
    <x v="0"/>
    <n v="7552"/>
  </r>
  <r>
    <x v="0"/>
    <x v="2"/>
    <x v="6"/>
    <x v="5"/>
    <x v="5"/>
    <x v="86"/>
    <x v="403"/>
    <x v="0"/>
    <n v="7616"/>
  </r>
  <r>
    <x v="0"/>
    <x v="2"/>
    <x v="6"/>
    <x v="0"/>
    <x v="6"/>
    <x v="65"/>
    <x v="86"/>
    <x v="0"/>
    <n v="2100"/>
  </r>
  <r>
    <x v="0"/>
    <x v="2"/>
    <x v="6"/>
    <x v="2"/>
    <x v="7"/>
    <x v="158"/>
    <x v="404"/>
    <x v="0"/>
    <n v="3360"/>
  </r>
  <r>
    <x v="0"/>
    <x v="2"/>
    <x v="6"/>
    <x v="0"/>
    <x v="7"/>
    <x v="225"/>
    <x v="405"/>
    <x v="0"/>
    <n v="32000"/>
  </r>
  <r>
    <x v="0"/>
    <x v="2"/>
    <x v="6"/>
    <x v="6"/>
    <x v="7"/>
    <x v="81"/>
    <x v="406"/>
    <x v="0"/>
    <n v="6400"/>
  </r>
  <r>
    <x v="0"/>
    <x v="2"/>
    <x v="6"/>
    <x v="3"/>
    <x v="7"/>
    <x v="189"/>
    <x v="407"/>
    <x v="0"/>
    <n v="35200"/>
  </r>
  <r>
    <x v="0"/>
    <x v="2"/>
    <x v="6"/>
    <x v="4"/>
    <x v="7"/>
    <x v="226"/>
    <x v="408"/>
    <x v="0"/>
    <n v="34528"/>
  </r>
  <r>
    <x v="0"/>
    <x v="2"/>
    <x v="6"/>
    <x v="1"/>
    <x v="7"/>
    <x v="227"/>
    <x v="409"/>
    <x v="0"/>
    <n v="30336"/>
  </r>
  <r>
    <x v="0"/>
    <x v="2"/>
    <x v="6"/>
    <x v="7"/>
    <x v="7"/>
    <x v="228"/>
    <x v="410"/>
    <x v="0"/>
    <n v="11968"/>
  </r>
  <r>
    <x v="0"/>
    <x v="2"/>
    <x v="6"/>
    <x v="8"/>
    <x v="7"/>
    <x v="229"/>
    <x v="411"/>
    <x v="0"/>
    <n v="31680"/>
  </r>
  <r>
    <x v="0"/>
    <x v="2"/>
    <x v="6"/>
    <x v="9"/>
    <x v="7"/>
    <x v="32"/>
    <x v="412"/>
    <x v="0"/>
    <n v="4480"/>
  </r>
  <r>
    <x v="0"/>
    <x v="2"/>
    <x v="6"/>
    <x v="2"/>
    <x v="8"/>
    <x v="38"/>
    <x v="413"/>
    <x v="1"/>
    <n v="195"/>
  </r>
  <r>
    <x v="0"/>
    <x v="2"/>
    <x v="6"/>
    <x v="5"/>
    <x v="8"/>
    <x v="31"/>
    <x v="414"/>
    <x v="1"/>
    <n v="13260"/>
  </r>
  <r>
    <x v="0"/>
    <x v="2"/>
    <x v="6"/>
    <x v="1"/>
    <x v="9"/>
    <x v="230"/>
    <x v="415"/>
    <x v="2"/>
    <n v="44520"/>
  </r>
  <r>
    <x v="0"/>
    <x v="2"/>
    <x v="6"/>
    <x v="8"/>
    <x v="9"/>
    <x v="231"/>
    <x v="416"/>
    <x v="2"/>
    <n v="2440"/>
  </r>
  <r>
    <x v="0"/>
    <x v="2"/>
    <x v="6"/>
    <x v="9"/>
    <x v="9"/>
    <x v="0"/>
    <x v="417"/>
    <x v="2"/>
    <n v="400"/>
  </r>
  <r>
    <x v="0"/>
    <x v="2"/>
    <x v="6"/>
    <x v="9"/>
    <x v="10"/>
    <x v="123"/>
    <x v="418"/>
    <x v="2"/>
    <n v="15355"/>
  </r>
  <r>
    <x v="0"/>
    <x v="2"/>
    <x v="6"/>
    <x v="2"/>
    <x v="11"/>
    <x v="24"/>
    <x v="28"/>
    <x v="2"/>
    <n v="25370"/>
  </r>
  <r>
    <x v="0"/>
    <x v="2"/>
    <x v="6"/>
    <x v="0"/>
    <x v="11"/>
    <x v="232"/>
    <x v="419"/>
    <x v="2"/>
    <n v="55900"/>
  </r>
  <r>
    <x v="0"/>
    <x v="2"/>
    <x v="6"/>
    <x v="5"/>
    <x v="11"/>
    <x v="146"/>
    <x v="420"/>
    <x v="2"/>
    <n v="9460"/>
  </r>
  <r>
    <x v="0"/>
    <x v="2"/>
    <x v="6"/>
    <x v="3"/>
    <x v="11"/>
    <x v="233"/>
    <x v="421"/>
    <x v="2"/>
    <n v="18275"/>
  </r>
  <r>
    <x v="0"/>
    <x v="2"/>
    <x v="6"/>
    <x v="4"/>
    <x v="11"/>
    <x v="234"/>
    <x v="422"/>
    <x v="2"/>
    <n v="17329"/>
  </r>
  <r>
    <x v="0"/>
    <x v="2"/>
    <x v="6"/>
    <x v="1"/>
    <x v="11"/>
    <x v="235"/>
    <x v="423"/>
    <x v="2"/>
    <n v="12083"/>
  </r>
  <r>
    <x v="0"/>
    <x v="2"/>
    <x v="6"/>
    <x v="7"/>
    <x v="11"/>
    <x v="125"/>
    <x v="424"/>
    <x v="2"/>
    <n v="12470"/>
  </r>
  <r>
    <x v="0"/>
    <x v="2"/>
    <x v="6"/>
    <x v="9"/>
    <x v="12"/>
    <x v="45"/>
    <x v="425"/>
    <x v="3"/>
    <n v="45"/>
  </r>
  <r>
    <x v="0"/>
    <x v="2"/>
    <x v="6"/>
    <x v="0"/>
    <x v="13"/>
    <x v="0"/>
    <x v="426"/>
    <x v="3"/>
    <n v="490"/>
  </r>
  <r>
    <x v="0"/>
    <x v="2"/>
    <x v="6"/>
    <x v="3"/>
    <x v="13"/>
    <x v="2"/>
    <x v="76"/>
    <x v="3"/>
    <n v="392"/>
  </r>
  <r>
    <x v="0"/>
    <x v="2"/>
    <x v="6"/>
    <x v="7"/>
    <x v="13"/>
    <x v="236"/>
    <x v="427"/>
    <x v="3"/>
    <n v="15435"/>
  </r>
  <r>
    <x v="0"/>
    <x v="2"/>
    <x v="6"/>
    <x v="8"/>
    <x v="13"/>
    <x v="237"/>
    <x v="428"/>
    <x v="3"/>
    <n v="6958"/>
  </r>
  <r>
    <x v="0"/>
    <x v="2"/>
    <x v="6"/>
    <x v="2"/>
    <x v="14"/>
    <x v="160"/>
    <x v="247"/>
    <x v="3"/>
    <n v="15500"/>
  </r>
  <r>
    <x v="0"/>
    <x v="2"/>
    <x v="6"/>
    <x v="5"/>
    <x v="14"/>
    <x v="238"/>
    <x v="429"/>
    <x v="3"/>
    <n v="28250"/>
  </r>
  <r>
    <x v="0"/>
    <x v="2"/>
    <x v="6"/>
    <x v="6"/>
    <x v="14"/>
    <x v="186"/>
    <x v="309"/>
    <x v="3"/>
    <n v="31500"/>
  </r>
  <r>
    <x v="0"/>
    <x v="2"/>
    <x v="6"/>
    <x v="4"/>
    <x v="14"/>
    <x v="123"/>
    <x v="183"/>
    <x v="3"/>
    <n v="18500"/>
  </r>
  <r>
    <x v="0"/>
    <x v="2"/>
    <x v="6"/>
    <x v="1"/>
    <x v="14"/>
    <x v="239"/>
    <x v="430"/>
    <x v="3"/>
    <n v="44900"/>
  </r>
  <r>
    <x v="0"/>
    <x v="2"/>
    <x v="6"/>
    <x v="7"/>
    <x v="14"/>
    <x v="43"/>
    <x v="32"/>
    <x v="3"/>
    <n v="0"/>
  </r>
  <r>
    <x v="0"/>
    <x v="2"/>
    <x v="6"/>
    <x v="2"/>
    <x v="15"/>
    <x v="185"/>
    <x v="431"/>
    <x v="4"/>
    <n v="19250"/>
  </r>
  <r>
    <x v="0"/>
    <x v="2"/>
    <x v="6"/>
    <x v="0"/>
    <x v="15"/>
    <x v="130"/>
    <x v="191"/>
    <x v="4"/>
    <n v="33550"/>
  </r>
  <r>
    <x v="0"/>
    <x v="2"/>
    <x v="6"/>
    <x v="5"/>
    <x v="15"/>
    <x v="58"/>
    <x v="432"/>
    <x v="4"/>
    <n v="2200"/>
  </r>
  <r>
    <x v="0"/>
    <x v="2"/>
    <x v="6"/>
    <x v="3"/>
    <x v="15"/>
    <x v="240"/>
    <x v="433"/>
    <x v="4"/>
    <n v="64350"/>
  </r>
  <r>
    <x v="0"/>
    <x v="2"/>
    <x v="6"/>
    <x v="4"/>
    <x v="15"/>
    <x v="68"/>
    <x v="434"/>
    <x v="4"/>
    <n v="9900"/>
  </r>
  <r>
    <x v="0"/>
    <x v="2"/>
    <x v="6"/>
    <x v="7"/>
    <x v="15"/>
    <x v="241"/>
    <x v="435"/>
    <x v="4"/>
    <n v="29700"/>
  </r>
  <r>
    <x v="0"/>
    <x v="2"/>
    <x v="6"/>
    <x v="8"/>
    <x v="15"/>
    <x v="186"/>
    <x v="436"/>
    <x v="4"/>
    <n v="34650"/>
  </r>
  <r>
    <x v="0"/>
    <x v="2"/>
    <x v="6"/>
    <x v="5"/>
    <x v="16"/>
    <x v="55"/>
    <x v="193"/>
    <x v="4"/>
    <n v="6960"/>
  </r>
  <r>
    <x v="0"/>
    <x v="2"/>
    <x v="6"/>
    <x v="6"/>
    <x v="16"/>
    <x v="100"/>
    <x v="437"/>
    <x v="4"/>
    <n v="12180"/>
  </r>
  <r>
    <x v="0"/>
    <x v="2"/>
    <x v="6"/>
    <x v="4"/>
    <x v="16"/>
    <x v="3"/>
    <x v="48"/>
    <x v="4"/>
    <n v="2900"/>
  </r>
  <r>
    <x v="0"/>
    <x v="2"/>
    <x v="6"/>
    <x v="1"/>
    <x v="16"/>
    <x v="85"/>
    <x v="438"/>
    <x v="4"/>
    <n v="2204"/>
  </r>
  <r>
    <x v="0"/>
    <x v="2"/>
    <x v="6"/>
    <x v="9"/>
    <x v="17"/>
    <x v="41"/>
    <x v="259"/>
    <x v="4"/>
    <n v="6600"/>
  </r>
  <r>
    <x v="0"/>
    <x v="2"/>
    <x v="6"/>
    <x v="2"/>
    <x v="18"/>
    <x v="100"/>
    <x v="133"/>
    <x v="5"/>
    <n v="13650"/>
  </r>
  <r>
    <x v="0"/>
    <x v="2"/>
    <x v="6"/>
    <x v="0"/>
    <x v="18"/>
    <x v="186"/>
    <x v="439"/>
    <x v="5"/>
    <n v="40950"/>
  </r>
  <r>
    <x v="0"/>
    <x v="2"/>
    <x v="6"/>
    <x v="5"/>
    <x v="18"/>
    <x v="45"/>
    <x v="440"/>
    <x v="5"/>
    <n v="65"/>
  </r>
  <r>
    <x v="0"/>
    <x v="2"/>
    <x v="6"/>
    <x v="3"/>
    <x v="18"/>
    <x v="34"/>
    <x v="441"/>
    <x v="5"/>
    <n v="24375"/>
  </r>
  <r>
    <x v="0"/>
    <x v="2"/>
    <x v="6"/>
    <x v="1"/>
    <x v="18"/>
    <x v="50"/>
    <x v="56"/>
    <x v="5"/>
    <n v="2080"/>
  </r>
  <r>
    <x v="0"/>
    <x v="2"/>
    <x v="6"/>
    <x v="7"/>
    <x v="18"/>
    <x v="154"/>
    <x v="442"/>
    <x v="5"/>
    <n v="10400"/>
  </r>
  <r>
    <x v="0"/>
    <x v="2"/>
    <x v="6"/>
    <x v="8"/>
    <x v="18"/>
    <x v="242"/>
    <x v="443"/>
    <x v="5"/>
    <n v="32825"/>
  </r>
  <r>
    <x v="0"/>
    <x v="2"/>
    <x v="6"/>
    <x v="9"/>
    <x v="18"/>
    <x v="81"/>
    <x v="201"/>
    <x v="5"/>
    <n v="13000"/>
  </r>
  <r>
    <x v="0"/>
    <x v="2"/>
    <x v="6"/>
    <x v="5"/>
    <x v="19"/>
    <x v="3"/>
    <x v="268"/>
    <x v="5"/>
    <n v="3500"/>
  </r>
  <r>
    <x v="0"/>
    <x v="2"/>
    <x v="6"/>
    <x v="6"/>
    <x v="19"/>
    <x v="109"/>
    <x v="387"/>
    <x v="5"/>
    <n v="6300"/>
  </r>
  <r>
    <x v="0"/>
    <x v="2"/>
    <x v="6"/>
    <x v="9"/>
    <x v="19"/>
    <x v="243"/>
    <x v="444"/>
    <x v="5"/>
    <n v="20650"/>
  </r>
  <r>
    <x v="0"/>
    <x v="2"/>
    <x v="6"/>
    <x v="2"/>
    <x v="20"/>
    <x v="244"/>
    <x v="445"/>
    <x v="5"/>
    <n v="1950"/>
  </r>
  <r>
    <x v="0"/>
    <x v="2"/>
    <x v="6"/>
    <x v="0"/>
    <x v="20"/>
    <x v="5"/>
    <x v="446"/>
    <x v="5"/>
    <n v="19500"/>
  </r>
  <r>
    <x v="0"/>
    <x v="2"/>
    <x v="6"/>
    <x v="3"/>
    <x v="20"/>
    <x v="132"/>
    <x v="447"/>
    <x v="5"/>
    <n v="10125"/>
  </r>
  <r>
    <x v="0"/>
    <x v="2"/>
    <x v="6"/>
    <x v="1"/>
    <x v="20"/>
    <x v="57"/>
    <x v="65"/>
    <x v="5"/>
    <n v="675"/>
  </r>
  <r>
    <x v="0"/>
    <x v="2"/>
    <x v="6"/>
    <x v="7"/>
    <x v="20"/>
    <x v="245"/>
    <x v="448"/>
    <x v="5"/>
    <n v="4275"/>
  </r>
  <r>
    <x v="0"/>
    <x v="2"/>
    <x v="6"/>
    <x v="8"/>
    <x v="20"/>
    <x v="68"/>
    <x v="449"/>
    <x v="5"/>
    <n v="13500"/>
  </r>
  <r>
    <x v="0"/>
    <x v="2"/>
    <x v="6"/>
    <x v="9"/>
    <x v="21"/>
    <x v="43"/>
    <x v="32"/>
    <x v="5"/>
    <n v="0"/>
  </r>
  <r>
    <x v="0"/>
    <x v="2"/>
    <x v="6"/>
    <x v="1"/>
    <x v="22"/>
    <x v="135"/>
    <x v="450"/>
    <x v="5"/>
    <n v="1886"/>
  </r>
  <r>
    <x v="0"/>
    <x v="2"/>
    <x v="6"/>
    <x v="7"/>
    <x v="22"/>
    <x v="43"/>
    <x v="32"/>
    <x v="5"/>
    <n v="0"/>
  </r>
  <r>
    <x v="0"/>
    <x v="2"/>
    <x v="6"/>
    <x v="8"/>
    <x v="22"/>
    <x v="48"/>
    <x v="451"/>
    <x v="5"/>
    <n v="2050"/>
  </r>
  <r>
    <x v="0"/>
    <x v="2"/>
    <x v="6"/>
    <x v="2"/>
    <x v="23"/>
    <x v="246"/>
    <x v="452"/>
    <x v="5"/>
    <n v="4930"/>
  </r>
  <r>
    <x v="0"/>
    <x v="2"/>
    <x v="6"/>
    <x v="3"/>
    <x v="23"/>
    <x v="61"/>
    <x v="453"/>
    <x v="5"/>
    <n v="1190"/>
  </r>
  <r>
    <x v="0"/>
    <x v="2"/>
    <x v="6"/>
    <x v="1"/>
    <x v="23"/>
    <x v="247"/>
    <x v="454"/>
    <x v="5"/>
    <n v="25.5"/>
  </r>
  <r>
    <x v="0"/>
    <x v="2"/>
    <x v="6"/>
    <x v="7"/>
    <x v="24"/>
    <x v="102"/>
    <x v="455"/>
    <x v="5"/>
    <n v="5590"/>
  </r>
  <r>
    <x v="0"/>
    <x v="2"/>
    <x v="6"/>
    <x v="7"/>
    <x v="25"/>
    <x v="59"/>
    <x v="76"/>
    <x v="5"/>
    <n v="196"/>
  </r>
  <r>
    <x v="0"/>
    <x v="2"/>
    <x v="6"/>
    <x v="1"/>
    <x v="26"/>
    <x v="203"/>
    <x v="336"/>
    <x v="5"/>
    <n v="40"/>
  </r>
  <r>
    <x v="0"/>
    <x v="2"/>
    <x v="7"/>
    <x v="1"/>
    <x v="0"/>
    <x v="0"/>
    <x v="0"/>
    <x v="0"/>
    <n v="185"/>
  </r>
  <r>
    <x v="0"/>
    <x v="2"/>
    <x v="7"/>
    <x v="2"/>
    <x v="1"/>
    <x v="43"/>
    <x v="32"/>
    <x v="0"/>
    <n v="0"/>
  </r>
  <r>
    <x v="0"/>
    <x v="2"/>
    <x v="7"/>
    <x v="3"/>
    <x v="2"/>
    <x v="2"/>
    <x v="456"/>
    <x v="0"/>
    <n v="172"/>
  </r>
  <r>
    <x v="0"/>
    <x v="2"/>
    <x v="7"/>
    <x v="2"/>
    <x v="3"/>
    <x v="60"/>
    <x v="457"/>
    <x v="0"/>
    <n v="237.60000000000002"/>
  </r>
  <r>
    <x v="0"/>
    <x v="2"/>
    <x v="7"/>
    <x v="0"/>
    <x v="4"/>
    <x v="43"/>
    <x v="32"/>
    <x v="0"/>
    <n v="0"/>
  </r>
  <r>
    <x v="0"/>
    <x v="2"/>
    <x v="7"/>
    <x v="4"/>
    <x v="4"/>
    <x v="31"/>
    <x v="458"/>
    <x v="0"/>
    <n v="8024.0000000000009"/>
  </r>
  <r>
    <x v="0"/>
    <x v="2"/>
    <x v="7"/>
    <x v="1"/>
    <x v="4"/>
    <x v="89"/>
    <x v="459"/>
    <x v="0"/>
    <n v="11422.400000000001"/>
  </r>
  <r>
    <x v="0"/>
    <x v="2"/>
    <x v="7"/>
    <x v="5"/>
    <x v="5"/>
    <x v="86"/>
    <x v="403"/>
    <x v="0"/>
    <n v="7616"/>
  </r>
  <r>
    <x v="0"/>
    <x v="2"/>
    <x v="7"/>
    <x v="0"/>
    <x v="6"/>
    <x v="94"/>
    <x v="284"/>
    <x v="0"/>
    <n v="2240"/>
  </r>
  <r>
    <x v="0"/>
    <x v="2"/>
    <x v="7"/>
    <x v="2"/>
    <x v="7"/>
    <x v="146"/>
    <x v="224"/>
    <x v="0"/>
    <n v="7040"/>
  </r>
  <r>
    <x v="0"/>
    <x v="2"/>
    <x v="7"/>
    <x v="0"/>
    <x v="7"/>
    <x v="248"/>
    <x v="460"/>
    <x v="0"/>
    <n v="38400"/>
  </r>
  <r>
    <x v="0"/>
    <x v="2"/>
    <x v="7"/>
    <x v="6"/>
    <x v="7"/>
    <x v="118"/>
    <x v="287"/>
    <x v="0"/>
    <n v="8000"/>
  </r>
  <r>
    <x v="0"/>
    <x v="2"/>
    <x v="7"/>
    <x v="3"/>
    <x v="7"/>
    <x v="249"/>
    <x v="461"/>
    <x v="0"/>
    <n v="32960"/>
  </r>
  <r>
    <x v="0"/>
    <x v="2"/>
    <x v="7"/>
    <x v="4"/>
    <x v="7"/>
    <x v="91"/>
    <x v="347"/>
    <x v="0"/>
    <n v="34240"/>
  </r>
  <r>
    <x v="0"/>
    <x v="2"/>
    <x v="7"/>
    <x v="1"/>
    <x v="7"/>
    <x v="250"/>
    <x v="462"/>
    <x v="0"/>
    <n v="25888"/>
  </r>
  <r>
    <x v="0"/>
    <x v="2"/>
    <x v="7"/>
    <x v="7"/>
    <x v="7"/>
    <x v="159"/>
    <x v="463"/>
    <x v="0"/>
    <n v="9600"/>
  </r>
  <r>
    <x v="0"/>
    <x v="2"/>
    <x v="7"/>
    <x v="8"/>
    <x v="7"/>
    <x v="251"/>
    <x v="464"/>
    <x v="0"/>
    <n v="34720"/>
  </r>
  <r>
    <x v="0"/>
    <x v="2"/>
    <x v="7"/>
    <x v="9"/>
    <x v="7"/>
    <x v="154"/>
    <x v="465"/>
    <x v="0"/>
    <n v="5120"/>
  </r>
  <r>
    <x v="0"/>
    <x v="2"/>
    <x v="7"/>
    <x v="2"/>
    <x v="8"/>
    <x v="43"/>
    <x v="32"/>
    <x v="1"/>
    <n v="0"/>
  </r>
  <r>
    <x v="0"/>
    <x v="2"/>
    <x v="7"/>
    <x v="5"/>
    <x v="8"/>
    <x v="185"/>
    <x v="466"/>
    <x v="1"/>
    <n v="13650"/>
  </r>
  <r>
    <x v="0"/>
    <x v="2"/>
    <x v="7"/>
    <x v="1"/>
    <x v="9"/>
    <x v="252"/>
    <x v="467"/>
    <x v="2"/>
    <n v="49240"/>
  </r>
  <r>
    <x v="0"/>
    <x v="2"/>
    <x v="7"/>
    <x v="8"/>
    <x v="9"/>
    <x v="29"/>
    <x v="468"/>
    <x v="2"/>
    <n v="1200"/>
  </r>
  <r>
    <x v="0"/>
    <x v="2"/>
    <x v="7"/>
    <x v="9"/>
    <x v="9"/>
    <x v="7"/>
    <x v="23"/>
    <x v="2"/>
    <n v="800"/>
  </r>
  <r>
    <x v="0"/>
    <x v="2"/>
    <x v="7"/>
    <x v="9"/>
    <x v="10"/>
    <x v="35"/>
    <x v="469"/>
    <x v="2"/>
    <n v="20750"/>
  </r>
  <r>
    <x v="0"/>
    <x v="2"/>
    <x v="7"/>
    <x v="2"/>
    <x v="11"/>
    <x v="24"/>
    <x v="28"/>
    <x v="2"/>
    <n v="25370"/>
  </r>
  <r>
    <x v="0"/>
    <x v="2"/>
    <x v="7"/>
    <x v="0"/>
    <x v="11"/>
    <x v="253"/>
    <x v="470"/>
    <x v="2"/>
    <n v="53750"/>
  </r>
  <r>
    <x v="0"/>
    <x v="2"/>
    <x v="7"/>
    <x v="5"/>
    <x v="11"/>
    <x v="134"/>
    <x v="471"/>
    <x v="2"/>
    <n v="10105"/>
  </r>
  <r>
    <x v="0"/>
    <x v="2"/>
    <x v="7"/>
    <x v="3"/>
    <x v="11"/>
    <x v="214"/>
    <x v="360"/>
    <x v="2"/>
    <n v="18490"/>
  </r>
  <r>
    <x v="0"/>
    <x v="2"/>
    <x v="7"/>
    <x v="4"/>
    <x v="11"/>
    <x v="254"/>
    <x v="472"/>
    <x v="2"/>
    <n v="22360"/>
  </r>
  <r>
    <x v="0"/>
    <x v="2"/>
    <x v="7"/>
    <x v="1"/>
    <x v="11"/>
    <x v="125"/>
    <x v="424"/>
    <x v="2"/>
    <n v="12470"/>
  </r>
  <r>
    <x v="0"/>
    <x v="2"/>
    <x v="7"/>
    <x v="7"/>
    <x v="11"/>
    <x v="52"/>
    <x v="473"/>
    <x v="2"/>
    <n v="16985"/>
  </r>
  <r>
    <x v="0"/>
    <x v="2"/>
    <x v="7"/>
    <x v="9"/>
    <x v="12"/>
    <x v="58"/>
    <x v="474"/>
    <x v="3"/>
    <n v="1800"/>
  </r>
  <r>
    <x v="0"/>
    <x v="2"/>
    <x v="7"/>
    <x v="0"/>
    <x v="13"/>
    <x v="0"/>
    <x v="426"/>
    <x v="3"/>
    <n v="490"/>
  </r>
  <r>
    <x v="0"/>
    <x v="2"/>
    <x v="7"/>
    <x v="3"/>
    <x v="13"/>
    <x v="0"/>
    <x v="426"/>
    <x v="3"/>
    <n v="490"/>
  </r>
  <r>
    <x v="0"/>
    <x v="2"/>
    <x v="7"/>
    <x v="7"/>
    <x v="13"/>
    <x v="255"/>
    <x v="475"/>
    <x v="3"/>
    <n v="15778"/>
  </r>
  <r>
    <x v="0"/>
    <x v="2"/>
    <x v="7"/>
    <x v="8"/>
    <x v="13"/>
    <x v="172"/>
    <x v="476"/>
    <x v="3"/>
    <n v="5978"/>
  </r>
  <r>
    <x v="0"/>
    <x v="2"/>
    <x v="7"/>
    <x v="2"/>
    <x v="14"/>
    <x v="167"/>
    <x v="477"/>
    <x v="3"/>
    <n v="14250"/>
  </r>
  <r>
    <x v="0"/>
    <x v="2"/>
    <x v="7"/>
    <x v="5"/>
    <x v="14"/>
    <x v="256"/>
    <x v="478"/>
    <x v="3"/>
    <n v="27250"/>
  </r>
  <r>
    <x v="0"/>
    <x v="2"/>
    <x v="7"/>
    <x v="6"/>
    <x v="14"/>
    <x v="257"/>
    <x v="479"/>
    <x v="3"/>
    <n v="33000"/>
  </r>
  <r>
    <x v="0"/>
    <x v="2"/>
    <x v="7"/>
    <x v="4"/>
    <x v="14"/>
    <x v="72"/>
    <x v="480"/>
    <x v="3"/>
    <n v="20000"/>
  </r>
  <r>
    <x v="0"/>
    <x v="2"/>
    <x v="7"/>
    <x v="1"/>
    <x v="14"/>
    <x v="13"/>
    <x v="481"/>
    <x v="3"/>
    <n v="35500"/>
  </r>
  <r>
    <x v="0"/>
    <x v="2"/>
    <x v="7"/>
    <x v="7"/>
    <x v="14"/>
    <x v="43"/>
    <x v="32"/>
    <x v="3"/>
    <n v="0"/>
  </r>
  <r>
    <x v="0"/>
    <x v="2"/>
    <x v="7"/>
    <x v="2"/>
    <x v="15"/>
    <x v="127"/>
    <x v="187"/>
    <x v="4"/>
    <n v="18975"/>
  </r>
  <r>
    <x v="0"/>
    <x v="2"/>
    <x v="7"/>
    <x v="0"/>
    <x v="15"/>
    <x v="83"/>
    <x v="482"/>
    <x v="4"/>
    <n v="31900"/>
  </r>
  <r>
    <x v="0"/>
    <x v="2"/>
    <x v="7"/>
    <x v="5"/>
    <x v="15"/>
    <x v="20"/>
    <x v="483"/>
    <x v="4"/>
    <n v="2475"/>
  </r>
  <r>
    <x v="0"/>
    <x v="2"/>
    <x v="7"/>
    <x v="3"/>
    <x v="15"/>
    <x v="258"/>
    <x v="484"/>
    <x v="4"/>
    <n v="61325"/>
  </r>
  <r>
    <x v="0"/>
    <x v="2"/>
    <x v="7"/>
    <x v="4"/>
    <x v="15"/>
    <x v="146"/>
    <x v="485"/>
    <x v="4"/>
    <n v="12100"/>
  </r>
  <r>
    <x v="0"/>
    <x v="2"/>
    <x v="7"/>
    <x v="7"/>
    <x v="15"/>
    <x v="259"/>
    <x v="486"/>
    <x v="4"/>
    <n v="37070"/>
  </r>
  <r>
    <x v="0"/>
    <x v="2"/>
    <x v="7"/>
    <x v="8"/>
    <x v="15"/>
    <x v="260"/>
    <x v="487"/>
    <x v="4"/>
    <n v="37125"/>
  </r>
  <r>
    <x v="0"/>
    <x v="2"/>
    <x v="7"/>
    <x v="5"/>
    <x v="16"/>
    <x v="23"/>
    <x v="49"/>
    <x v="4"/>
    <n v="8700"/>
  </r>
  <r>
    <x v="0"/>
    <x v="2"/>
    <x v="7"/>
    <x v="6"/>
    <x v="16"/>
    <x v="68"/>
    <x v="488"/>
    <x v="4"/>
    <n v="10440"/>
  </r>
  <r>
    <x v="0"/>
    <x v="2"/>
    <x v="7"/>
    <x v="4"/>
    <x v="16"/>
    <x v="16"/>
    <x v="256"/>
    <x v="4"/>
    <n v="4060"/>
  </r>
  <r>
    <x v="0"/>
    <x v="2"/>
    <x v="7"/>
    <x v="1"/>
    <x v="16"/>
    <x v="137"/>
    <x v="489"/>
    <x v="4"/>
    <n v="2494"/>
  </r>
  <r>
    <x v="0"/>
    <x v="2"/>
    <x v="7"/>
    <x v="9"/>
    <x v="17"/>
    <x v="8"/>
    <x v="490"/>
    <x v="4"/>
    <n v="6000"/>
  </r>
  <r>
    <x v="0"/>
    <x v="2"/>
    <x v="7"/>
    <x v="2"/>
    <x v="18"/>
    <x v="36"/>
    <x v="491"/>
    <x v="5"/>
    <n v="12350"/>
  </r>
  <r>
    <x v="0"/>
    <x v="2"/>
    <x v="7"/>
    <x v="0"/>
    <x v="18"/>
    <x v="261"/>
    <x v="492"/>
    <x v="5"/>
    <n v="41925"/>
  </r>
  <r>
    <x v="0"/>
    <x v="2"/>
    <x v="7"/>
    <x v="5"/>
    <x v="18"/>
    <x v="28"/>
    <x v="32"/>
    <x v="5"/>
    <n v="0"/>
  </r>
  <r>
    <x v="0"/>
    <x v="2"/>
    <x v="7"/>
    <x v="3"/>
    <x v="18"/>
    <x v="25"/>
    <x v="493"/>
    <x v="5"/>
    <n v="27300"/>
  </r>
  <r>
    <x v="0"/>
    <x v="2"/>
    <x v="7"/>
    <x v="1"/>
    <x v="18"/>
    <x v="95"/>
    <x v="494"/>
    <x v="5"/>
    <n v="3510"/>
  </r>
  <r>
    <x v="0"/>
    <x v="2"/>
    <x v="7"/>
    <x v="7"/>
    <x v="18"/>
    <x v="19"/>
    <x v="495"/>
    <x v="5"/>
    <n v="9425"/>
  </r>
  <r>
    <x v="0"/>
    <x v="2"/>
    <x v="7"/>
    <x v="8"/>
    <x v="18"/>
    <x v="164"/>
    <x v="496"/>
    <x v="5"/>
    <n v="28600"/>
  </r>
  <r>
    <x v="0"/>
    <x v="2"/>
    <x v="7"/>
    <x v="9"/>
    <x v="18"/>
    <x v="81"/>
    <x v="201"/>
    <x v="5"/>
    <n v="13000"/>
  </r>
  <r>
    <x v="0"/>
    <x v="2"/>
    <x v="7"/>
    <x v="5"/>
    <x v="19"/>
    <x v="30"/>
    <x v="497"/>
    <x v="5"/>
    <n v="3850"/>
  </r>
  <r>
    <x v="0"/>
    <x v="2"/>
    <x v="7"/>
    <x v="6"/>
    <x v="19"/>
    <x v="55"/>
    <x v="269"/>
    <x v="5"/>
    <n v="8400"/>
  </r>
  <r>
    <x v="0"/>
    <x v="2"/>
    <x v="7"/>
    <x v="9"/>
    <x v="19"/>
    <x v="262"/>
    <x v="498"/>
    <x v="5"/>
    <n v="18550"/>
  </r>
  <r>
    <x v="0"/>
    <x v="2"/>
    <x v="7"/>
    <x v="2"/>
    <x v="20"/>
    <x v="135"/>
    <x v="499"/>
    <x v="5"/>
    <n v="1725"/>
  </r>
  <r>
    <x v="0"/>
    <x v="2"/>
    <x v="7"/>
    <x v="0"/>
    <x v="20"/>
    <x v="88"/>
    <x v="500"/>
    <x v="5"/>
    <n v="27000"/>
  </r>
  <r>
    <x v="0"/>
    <x v="2"/>
    <x v="7"/>
    <x v="3"/>
    <x v="20"/>
    <x v="19"/>
    <x v="271"/>
    <x v="5"/>
    <n v="10875"/>
  </r>
  <r>
    <x v="0"/>
    <x v="2"/>
    <x v="7"/>
    <x v="1"/>
    <x v="20"/>
    <x v="0"/>
    <x v="391"/>
    <x v="5"/>
    <n v="750"/>
  </r>
  <r>
    <x v="0"/>
    <x v="2"/>
    <x v="7"/>
    <x v="7"/>
    <x v="20"/>
    <x v="3"/>
    <x v="273"/>
    <x v="5"/>
    <n v="3750"/>
  </r>
  <r>
    <x v="0"/>
    <x v="2"/>
    <x v="7"/>
    <x v="8"/>
    <x v="20"/>
    <x v="263"/>
    <x v="501"/>
    <x v="5"/>
    <n v="12600"/>
  </r>
  <r>
    <x v="0"/>
    <x v="2"/>
    <x v="7"/>
    <x v="9"/>
    <x v="21"/>
    <x v="201"/>
    <x v="502"/>
    <x v="5"/>
    <n v="16"/>
  </r>
  <r>
    <x v="0"/>
    <x v="2"/>
    <x v="7"/>
    <x v="1"/>
    <x v="22"/>
    <x v="198"/>
    <x v="503"/>
    <x v="5"/>
    <n v="1804"/>
  </r>
  <r>
    <x v="0"/>
    <x v="2"/>
    <x v="7"/>
    <x v="7"/>
    <x v="22"/>
    <x v="43"/>
    <x v="32"/>
    <x v="5"/>
    <n v="0"/>
  </r>
  <r>
    <x v="0"/>
    <x v="2"/>
    <x v="7"/>
    <x v="8"/>
    <x v="22"/>
    <x v="29"/>
    <x v="211"/>
    <x v="5"/>
    <n v="2460"/>
  </r>
  <r>
    <x v="0"/>
    <x v="2"/>
    <x v="7"/>
    <x v="2"/>
    <x v="23"/>
    <x v="190"/>
    <x v="504"/>
    <x v="5"/>
    <n v="6290"/>
  </r>
  <r>
    <x v="0"/>
    <x v="2"/>
    <x v="7"/>
    <x v="3"/>
    <x v="23"/>
    <x v="169"/>
    <x v="505"/>
    <x v="5"/>
    <n v="2380"/>
  </r>
  <r>
    <x v="0"/>
    <x v="2"/>
    <x v="7"/>
    <x v="1"/>
    <x v="23"/>
    <x v="203"/>
    <x v="397"/>
    <x v="5"/>
    <n v="34"/>
  </r>
  <r>
    <x v="0"/>
    <x v="2"/>
    <x v="7"/>
    <x v="7"/>
    <x v="24"/>
    <x v="264"/>
    <x v="506"/>
    <x v="5"/>
    <n v="7654"/>
  </r>
  <r>
    <x v="0"/>
    <x v="2"/>
    <x v="7"/>
    <x v="7"/>
    <x v="25"/>
    <x v="45"/>
    <x v="335"/>
    <x v="5"/>
    <n v="98"/>
  </r>
  <r>
    <x v="0"/>
    <x v="2"/>
    <x v="7"/>
    <x v="1"/>
    <x v="26"/>
    <x v="265"/>
    <x v="507"/>
    <x v="5"/>
    <n v="50"/>
  </r>
  <r>
    <x v="0"/>
    <x v="2"/>
    <x v="8"/>
    <x v="1"/>
    <x v="0"/>
    <x v="84"/>
    <x v="508"/>
    <x v="0"/>
    <n v="277.5"/>
  </r>
  <r>
    <x v="0"/>
    <x v="2"/>
    <x v="8"/>
    <x v="2"/>
    <x v="1"/>
    <x v="43"/>
    <x v="32"/>
    <x v="0"/>
    <n v="0"/>
  </r>
  <r>
    <x v="0"/>
    <x v="2"/>
    <x v="8"/>
    <x v="3"/>
    <x v="2"/>
    <x v="45"/>
    <x v="509"/>
    <x v="0"/>
    <n v="21.5"/>
  </r>
  <r>
    <x v="0"/>
    <x v="2"/>
    <x v="8"/>
    <x v="2"/>
    <x v="3"/>
    <x v="129"/>
    <x v="510"/>
    <x v="0"/>
    <n v="259.20000000000005"/>
  </r>
  <r>
    <x v="0"/>
    <x v="2"/>
    <x v="8"/>
    <x v="0"/>
    <x v="4"/>
    <x v="43"/>
    <x v="32"/>
    <x v="0"/>
    <n v="0"/>
  </r>
  <r>
    <x v="0"/>
    <x v="2"/>
    <x v="8"/>
    <x v="4"/>
    <x v="4"/>
    <x v="266"/>
    <x v="511"/>
    <x v="0"/>
    <n v="7363.2000000000007"/>
  </r>
  <r>
    <x v="0"/>
    <x v="2"/>
    <x v="8"/>
    <x v="1"/>
    <x v="4"/>
    <x v="267"/>
    <x v="512"/>
    <x v="0"/>
    <n v="13192.400000000001"/>
  </r>
  <r>
    <x v="0"/>
    <x v="2"/>
    <x v="8"/>
    <x v="5"/>
    <x v="5"/>
    <x v="159"/>
    <x v="283"/>
    <x v="0"/>
    <n v="7140"/>
  </r>
  <r>
    <x v="0"/>
    <x v="2"/>
    <x v="8"/>
    <x v="0"/>
    <x v="6"/>
    <x v="16"/>
    <x v="157"/>
    <x v="0"/>
    <n v="1960"/>
  </r>
  <r>
    <x v="0"/>
    <x v="2"/>
    <x v="8"/>
    <x v="2"/>
    <x v="7"/>
    <x v="268"/>
    <x v="513"/>
    <x v="0"/>
    <n v="6880"/>
  </r>
  <r>
    <x v="0"/>
    <x v="2"/>
    <x v="8"/>
    <x v="0"/>
    <x v="7"/>
    <x v="9"/>
    <x v="11"/>
    <x v="0"/>
    <n v="39040"/>
  </r>
  <r>
    <x v="0"/>
    <x v="2"/>
    <x v="8"/>
    <x v="6"/>
    <x v="7"/>
    <x v="146"/>
    <x v="224"/>
    <x v="0"/>
    <n v="7040"/>
  </r>
  <r>
    <x v="0"/>
    <x v="2"/>
    <x v="8"/>
    <x v="3"/>
    <x v="7"/>
    <x v="269"/>
    <x v="514"/>
    <x v="0"/>
    <n v="33440"/>
  </r>
  <r>
    <x v="0"/>
    <x v="2"/>
    <x v="8"/>
    <x v="4"/>
    <x v="7"/>
    <x v="270"/>
    <x v="515"/>
    <x v="0"/>
    <n v="37664"/>
  </r>
  <r>
    <x v="0"/>
    <x v="2"/>
    <x v="8"/>
    <x v="1"/>
    <x v="7"/>
    <x v="271"/>
    <x v="516"/>
    <x v="0"/>
    <n v="24384"/>
  </r>
  <r>
    <x v="0"/>
    <x v="2"/>
    <x v="8"/>
    <x v="7"/>
    <x v="7"/>
    <x v="160"/>
    <x v="517"/>
    <x v="0"/>
    <n v="9920"/>
  </r>
  <r>
    <x v="0"/>
    <x v="2"/>
    <x v="8"/>
    <x v="8"/>
    <x v="7"/>
    <x v="272"/>
    <x v="518"/>
    <x v="0"/>
    <n v="27328"/>
  </r>
  <r>
    <x v="0"/>
    <x v="2"/>
    <x v="8"/>
    <x v="9"/>
    <x v="7"/>
    <x v="8"/>
    <x v="10"/>
    <x v="0"/>
    <n v="3200"/>
  </r>
  <r>
    <x v="0"/>
    <x v="2"/>
    <x v="8"/>
    <x v="2"/>
    <x v="8"/>
    <x v="43"/>
    <x v="32"/>
    <x v="1"/>
    <n v="0"/>
  </r>
  <r>
    <x v="0"/>
    <x v="2"/>
    <x v="8"/>
    <x v="5"/>
    <x v="8"/>
    <x v="72"/>
    <x v="519"/>
    <x v="1"/>
    <n v="15600"/>
  </r>
  <r>
    <x v="0"/>
    <x v="2"/>
    <x v="8"/>
    <x v="1"/>
    <x v="9"/>
    <x v="273"/>
    <x v="520"/>
    <x v="2"/>
    <n v="46240"/>
  </r>
  <r>
    <x v="0"/>
    <x v="2"/>
    <x v="8"/>
    <x v="8"/>
    <x v="9"/>
    <x v="43"/>
    <x v="32"/>
    <x v="2"/>
    <n v="0"/>
  </r>
  <r>
    <x v="0"/>
    <x v="2"/>
    <x v="8"/>
    <x v="9"/>
    <x v="9"/>
    <x v="0"/>
    <x v="417"/>
    <x v="2"/>
    <n v="400"/>
  </r>
  <r>
    <x v="0"/>
    <x v="2"/>
    <x v="8"/>
    <x v="9"/>
    <x v="10"/>
    <x v="274"/>
    <x v="521"/>
    <x v="2"/>
    <n v="19505"/>
  </r>
  <r>
    <x v="0"/>
    <x v="2"/>
    <x v="8"/>
    <x v="2"/>
    <x v="11"/>
    <x v="275"/>
    <x v="522"/>
    <x v="2"/>
    <n v="27950"/>
  </r>
  <r>
    <x v="0"/>
    <x v="2"/>
    <x v="8"/>
    <x v="0"/>
    <x v="11"/>
    <x v="232"/>
    <x v="419"/>
    <x v="2"/>
    <n v="55900"/>
  </r>
  <r>
    <x v="0"/>
    <x v="2"/>
    <x v="8"/>
    <x v="5"/>
    <x v="11"/>
    <x v="159"/>
    <x v="359"/>
    <x v="2"/>
    <n v="12900"/>
  </r>
  <r>
    <x v="0"/>
    <x v="2"/>
    <x v="8"/>
    <x v="3"/>
    <x v="11"/>
    <x v="31"/>
    <x v="299"/>
    <x v="2"/>
    <n v="14620"/>
  </r>
  <r>
    <x v="0"/>
    <x v="2"/>
    <x v="8"/>
    <x v="4"/>
    <x v="11"/>
    <x v="276"/>
    <x v="523"/>
    <x v="2"/>
    <n v="23048"/>
  </r>
  <r>
    <x v="0"/>
    <x v="2"/>
    <x v="8"/>
    <x v="1"/>
    <x v="11"/>
    <x v="277"/>
    <x v="524"/>
    <x v="2"/>
    <n v="10148"/>
  </r>
  <r>
    <x v="0"/>
    <x v="2"/>
    <x v="8"/>
    <x v="7"/>
    <x v="11"/>
    <x v="278"/>
    <x v="525"/>
    <x v="2"/>
    <n v="15695"/>
  </r>
  <r>
    <x v="0"/>
    <x v="2"/>
    <x v="8"/>
    <x v="9"/>
    <x v="12"/>
    <x v="58"/>
    <x v="474"/>
    <x v="3"/>
    <n v="1800"/>
  </r>
  <r>
    <x v="0"/>
    <x v="2"/>
    <x v="8"/>
    <x v="0"/>
    <x v="13"/>
    <x v="38"/>
    <x v="526"/>
    <x v="3"/>
    <n v="245"/>
  </r>
  <r>
    <x v="0"/>
    <x v="2"/>
    <x v="8"/>
    <x v="3"/>
    <x v="13"/>
    <x v="0"/>
    <x v="426"/>
    <x v="3"/>
    <n v="490"/>
  </r>
  <r>
    <x v="0"/>
    <x v="2"/>
    <x v="8"/>
    <x v="7"/>
    <x v="13"/>
    <x v="90"/>
    <x v="527"/>
    <x v="3"/>
    <n v="13720"/>
  </r>
  <r>
    <x v="0"/>
    <x v="2"/>
    <x v="8"/>
    <x v="8"/>
    <x v="13"/>
    <x v="279"/>
    <x v="528"/>
    <x v="3"/>
    <n v="3969"/>
  </r>
  <r>
    <x v="0"/>
    <x v="2"/>
    <x v="8"/>
    <x v="2"/>
    <x v="14"/>
    <x v="280"/>
    <x v="529"/>
    <x v="3"/>
    <n v="12600"/>
  </r>
  <r>
    <x v="0"/>
    <x v="2"/>
    <x v="8"/>
    <x v="5"/>
    <x v="14"/>
    <x v="35"/>
    <x v="39"/>
    <x v="3"/>
    <n v="25000"/>
  </r>
  <r>
    <x v="0"/>
    <x v="2"/>
    <x v="8"/>
    <x v="6"/>
    <x v="14"/>
    <x v="12"/>
    <x v="530"/>
    <x v="3"/>
    <n v="34000"/>
  </r>
  <r>
    <x v="0"/>
    <x v="2"/>
    <x v="8"/>
    <x v="4"/>
    <x v="14"/>
    <x v="185"/>
    <x v="308"/>
    <x v="3"/>
    <n v="17500"/>
  </r>
  <r>
    <x v="0"/>
    <x v="2"/>
    <x v="8"/>
    <x v="1"/>
    <x v="14"/>
    <x v="271"/>
    <x v="531"/>
    <x v="3"/>
    <n v="38100"/>
  </r>
  <r>
    <x v="0"/>
    <x v="2"/>
    <x v="8"/>
    <x v="7"/>
    <x v="14"/>
    <x v="43"/>
    <x v="32"/>
    <x v="3"/>
    <n v="0"/>
  </r>
  <r>
    <x v="0"/>
    <x v="2"/>
    <x v="8"/>
    <x v="2"/>
    <x v="15"/>
    <x v="122"/>
    <x v="532"/>
    <x v="4"/>
    <n v="20900"/>
  </r>
  <r>
    <x v="0"/>
    <x v="2"/>
    <x v="8"/>
    <x v="0"/>
    <x v="15"/>
    <x v="24"/>
    <x v="533"/>
    <x v="4"/>
    <n v="32450"/>
  </r>
  <r>
    <x v="0"/>
    <x v="2"/>
    <x v="8"/>
    <x v="5"/>
    <x v="15"/>
    <x v="29"/>
    <x v="534"/>
    <x v="4"/>
    <n v="1650"/>
  </r>
  <r>
    <x v="0"/>
    <x v="2"/>
    <x v="8"/>
    <x v="3"/>
    <x v="15"/>
    <x v="80"/>
    <x v="535"/>
    <x v="4"/>
    <n v="62150"/>
  </r>
  <r>
    <x v="0"/>
    <x v="2"/>
    <x v="8"/>
    <x v="4"/>
    <x v="15"/>
    <x v="281"/>
    <x v="536"/>
    <x v="4"/>
    <n v="10175"/>
  </r>
  <r>
    <x v="0"/>
    <x v="2"/>
    <x v="8"/>
    <x v="1"/>
    <x v="15"/>
    <x v="199"/>
    <x v="537"/>
    <x v="4"/>
    <n v="220"/>
  </r>
  <r>
    <x v="0"/>
    <x v="2"/>
    <x v="8"/>
    <x v="7"/>
    <x v="15"/>
    <x v="261"/>
    <x v="538"/>
    <x v="4"/>
    <n v="35475"/>
  </r>
  <r>
    <x v="0"/>
    <x v="2"/>
    <x v="8"/>
    <x v="8"/>
    <x v="15"/>
    <x v="212"/>
    <x v="539"/>
    <x v="4"/>
    <n v="36850"/>
  </r>
  <r>
    <x v="0"/>
    <x v="2"/>
    <x v="8"/>
    <x v="5"/>
    <x v="16"/>
    <x v="68"/>
    <x v="488"/>
    <x v="4"/>
    <n v="10440"/>
  </r>
  <r>
    <x v="0"/>
    <x v="2"/>
    <x v="8"/>
    <x v="6"/>
    <x v="16"/>
    <x v="100"/>
    <x v="437"/>
    <x v="4"/>
    <n v="12180"/>
  </r>
  <r>
    <x v="0"/>
    <x v="2"/>
    <x v="8"/>
    <x v="4"/>
    <x v="16"/>
    <x v="29"/>
    <x v="540"/>
    <x v="4"/>
    <n v="1740"/>
  </r>
  <r>
    <x v="0"/>
    <x v="2"/>
    <x v="8"/>
    <x v="1"/>
    <x v="16"/>
    <x v="99"/>
    <x v="541"/>
    <x v="4"/>
    <n v="2262"/>
  </r>
  <r>
    <x v="0"/>
    <x v="2"/>
    <x v="8"/>
    <x v="9"/>
    <x v="17"/>
    <x v="26"/>
    <x v="542"/>
    <x v="4"/>
    <n v="5700"/>
  </r>
  <r>
    <x v="0"/>
    <x v="2"/>
    <x v="8"/>
    <x v="2"/>
    <x v="18"/>
    <x v="282"/>
    <x v="543"/>
    <x v="5"/>
    <n v="12675"/>
  </r>
  <r>
    <x v="0"/>
    <x v="2"/>
    <x v="8"/>
    <x v="0"/>
    <x v="18"/>
    <x v="275"/>
    <x v="544"/>
    <x v="5"/>
    <n v="42250"/>
  </r>
  <r>
    <x v="0"/>
    <x v="2"/>
    <x v="8"/>
    <x v="5"/>
    <x v="18"/>
    <x v="43"/>
    <x v="32"/>
    <x v="5"/>
    <n v="0"/>
  </r>
  <r>
    <x v="0"/>
    <x v="2"/>
    <x v="8"/>
    <x v="3"/>
    <x v="18"/>
    <x v="52"/>
    <x v="58"/>
    <x v="5"/>
    <n v="25675"/>
  </r>
  <r>
    <x v="0"/>
    <x v="2"/>
    <x v="8"/>
    <x v="1"/>
    <x v="18"/>
    <x v="74"/>
    <x v="545"/>
    <x v="5"/>
    <n v="3900"/>
  </r>
  <r>
    <x v="0"/>
    <x v="2"/>
    <x v="8"/>
    <x v="7"/>
    <x v="18"/>
    <x v="140"/>
    <x v="546"/>
    <x v="5"/>
    <n v="10075"/>
  </r>
  <r>
    <x v="0"/>
    <x v="2"/>
    <x v="8"/>
    <x v="8"/>
    <x v="18"/>
    <x v="254"/>
    <x v="547"/>
    <x v="5"/>
    <n v="33800"/>
  </r>
  <r>
    <x v="0"/>
    <x v="2"/>
    <x v="8"/>
    <x v="9"/>
    <x v="18"/>
    <x v="76"/>
    <x v="548"/>
    <x v="5"/>
    <n v="17550"/>
  </r>
  <r>
    <x v="0"/>
    <x v="2"/>
    <x v="8"/>
    <x v="5"/>
    <x v="19"/>
    <x v="16"/>
    <x v="60"/>
    <x v="5"/>
    <n v="4900"/>
  </r>
  <r>
    <x v="0"/>
    <x v="2"/>
    <x v="8"/>
    <x v="6"/>
    <x v="19"/>
    <x v="26"/>
    <x v="549"/>
    <x v="5"/>
    <n v="6650"/>
  </r>
  <r>
    <x v="0"/>
    <x v="2"/>
    <x v="8"/>
    <x v="9"/>
    <x v="19"/>
    <x v="5"/>
    <x v="550"/>
    <x v="5"/>
    <n v="18200"/>
  </r>
  <r>
    <x v="0"/>
    <x v="2"/>
    <x v="8"/>
    <x v="2"/>
    <x v="20"/>
    <x v="283"/>
    <x v="551"/>
    <x v="5"/>
    <n v="1350"/>
  </r>
  <r>
    <x v="0"/>
    <x v="2"/>
    <x v="8"/>
    <x v="0"/>
    <x v="20"/>
    <x v="127"/>
    <x v="552"/>
    <x v="5"/>
    <n v="25875"/>
  </r>
  <r>
    <x v="0"/>
    <x v="2"/>
    <x v="8"/>
    <x v="3"/>
    <x v="20"/>
    <x v="51"/>
    <x v="553"/>
    <x v="5"/>
    <n v="12750"/>
  </r>
  <r>
    <x v="0"/>
    <x v="2"/>
    <x v="8"/>
    <x v="1"/>
    <x v="20"/>
    <x v="7"/>
    <x v="554"/>
    <x v="5"/>
    <n v="1500"/>
  </r>
  <r>
    <x v="0"/>
    <x v="2"/>
    <x v="8"/>
    <x v="7"/>
    <x v="20"/>
    <x v="20"/>
    <x v="555"/>
    <x v="5"/>
    <n v="3375"/>
  </r>
  <r>
    <x v="0"/>
    <x v="2"/>
    <x v="8"/>
    <x v="8"/>
    <x v="20"/>
    <x v="263"/>
    <x v="501"/>
    <x v="5"/>
    <n v="12600"/>
  </r>
  <r>
    <x v="0"/>
    <x v="2"/>
    <x v="8"/>
    <x v="9"/>
    <x v="21"/>
    <x v="43"/>
    <x v="32"/>
    <x v="5"/>
    <n v="0"/>
  </r>
  <r>
    <x v="0"/>
    <x v="2"/>
    <x v="8"/>
    <x v="1"/>
    <x v="22"/>
    <x v="223"/>
    <x v="394"/>
    <x v="5"/>
    <n v="1394"/>
  </r>
  <r>
    <x v="0"/>
    <x v="2"/>
    <x v="8"/>
    <x v="7"/>
    <x v="22"/>
    <x v="43"/>
    <x v="32"/>
    <x v="5"/>
    <n v="0"/>
  </r>
  <r>
    <x v="0"/>
    <x v="2"/>
    <x v="8"/>
    <x v="8"/>
    <x v="22"/>
    <x v="29"/>
    <x v="211"/>
    <x v="5"/>
    <n v="2460"/>
  </r>
  <r>
    <x v="0"/>
    <x v="2"/>
    <x v="8"/>
    <x v="2"/>
    <x v="23"/>
    <x v="284"/>
    <x v="556"/>
    <x v="5"/>
    <n v="6715"/>
  </r>
  <r>
    <x v="0"/>
    <x v="2"/>
    <x v="8"/>
    <x v="3"/>
    <x v="23"/>
    <x v="142"/>
    <x v="557"/>
    <x v="5"/>
    <n v="2805"/>
  </r>
  <r>
    <x v="0"/>
    <x v="2"/>
    <x v="8"/>
    <x v="1"/>
    <x v="23"/>
    <x v="45"/>
    <x v="74"/>
    <x v="5"/>
    <n v="85"/>
  </r>
  <r>
    <x v="0"/>
    <x v="2"/>
    <x v="8"/>
    <x v="7"/>
    <x v="24"/>
    <x v="26"/>
    <x v="558"/>
    <x v="5"/>
    <n v="8170"/>
  </r>
  <r>
    <x v="0"/>
    <x v="2"/>
    <x v="8"/>
    <x v="7"/>
    <x v="25"/>
    <x v="59"/>
    <x v="76"/>
    <x v="5"/>
    <n v="196"/>
  </r>
  <r>
    <x v="0"/>
    <x v="2"/>
    <x v="8"/>
    <x v="1"/>
    <x v="26"/>
    <x v="45"/>
    <x v="77"/>
    <x v="5"/>
    <n v="100"/>
  </r>
  <r>
    <x v="0"/>
    <x v="3"/>
    <x v="9"/>
    <x v="1"/>
    <x v="0"/>
    <x v="60"/>
    <x v="337"/>
    <x v="0"/>
    <n v="203.5"/>
  </r>
  <r>
    <x v="0"/>
    <x v="3"/>
    <x v="9"/>
    <x v="2"/>
    <x v="1"/>
    <x v="43"/>
    <x v="32"/>
    <x v="0"/>
    <n v="0"/>
  </r>
  <r>
    <x v="0"/>
    <x v="3"/>
    <x v="9"/>
    <x v="3"/>
    <x v="2"/>
    <x v="45"/>
    <x v="509"/>
    <x v="0"/>
    <n v="21.5"/>
  </r>
  <r>
    <x v="0"/>
    <x v="3"/>
    <x v="9"/>
    <x v="2"/>
    <x v="3"/>
    <x v="198"/>
    <x v="559"/>
    <x v="0"/>
    <n v="475.20000000000005"/>
  </r>
  <r>
    <x v="0"/>
    <x v="3"/>
    <x v="9"/>
    <x v="0"/>
    <x v="4"/>
    <x v="41"/>
    <x v="560"/>
    <x v="0"/>
    <n v="2596"/>
  </r>
  <r>
    <x v="0"/>
    <x v="3"/>
    <x v="9"/>
    <x v="4"/>
    <x v="4"/>
    <x v="285"/>
    <x v="561"/>
    <x v="0"/>
    <n v="8448.8000000000011"/>
  </r>
  <r>
    <x v="0"/>
    <x v="3"/>
    <x v="9"/>
    <x v="1"/>
    <x v="4"/>
    <x v="79"/>
    <x v="562"/>
    <x v="0"/>
    <n v="11870.800000000001"/>
  </r>
  <r>
    <x v="0"/>
    <x v="3"/>
    <x v="9"/>
    <x v="5"/>
    <x v="5"/>
    <x v="159"/>
    <x v="283"/>
    <x v="0"/>
    <n v="7140"/>
  </r>
  <r>
    <x v="0"/>
    <x v="3"/>
    <x v="9"/>
    <x v="0"/>
    <x v="6"/>
    <x v="3"/>
    <x v="563"/>
    <x v="0"/>
    <n v="1400"/>
  </r>
  <r>
    <x v="0"/>
    <x v="3"/>
    <x v="9"/>
    <x v="2"/>
    <x v="7"/>
    <x v="81"/>
    <x v="406"/>
    <x v="0"/>
    <n v="6400"/>
  </r>
  <r>
    <x v="0"/>
    <x v="3"/>
    <x v="9"/>
    <x v="0"/>
    <x v="7"/>
    <x v="22"/>
    <x v="564"/>
    <x v="0"/>
    <n v="42560"/>
  </r>
  <r>
    <x v="0"/>
    <x v="3"/>
    <x v="9"/>
    <x v="6"/>
    <x v="7"/>
    <x v="118"/>
    <x v="287"/>
    <x v="0"/>
    <n v="8000"/>
  </r>
  <r>
    <x v="0"/>
    <x v="3"/>
    <x v="9"/>
    <x v="3"/>
    <x v="7"/>
    <x v="286"/>
    <x v="565"/>
    <x v="0"/>
    <n v="29664"/>
  </r>
  <r>
    <x v="0"/>
    <x v="3"/>
    <x v="9"/>
    <x v="4"/>
    <x v="7"/>
    <x v="147"/>
    <x v="225"/>
    <x v="0"/>
    <n v="35264"/>
  </r>
  <r>
    <x v="0"/>
    <x v="3"/>
    <x v="9"/>
    <x v="1"/>
    <x v="7"/>
    <x v="287"/>
    <x v="566"/>
    <x v="0"/>
    <n v="24064"/>
  </r>
  <r>
    <x v="0"/>
    <x v="3"/>
    <x v="9"/>
    <x v="7"/>
    <x v="7"/>
    <x v="160"/>
    <x v="517"/>
    <x v="0"/>
    <n v="9920"/>
  </r>
  <r>
    <x v="0"/>
    <x v="3"/>
    <x v="9"/>
    <x v="8"/>
    <x v="7"/>
    <x v="288"/>
    <x v="567"/>
    <x v="0"/>
    <n v="24320"/>
  </r>
  <r>
    <x v="0"/>
    <x v="3"/>
    <x v="9"/>
    <x v="9"/>
    <x v="7"/>
    <x v="68"/>
    <x v="89"/>
    <x v="0"/>
    <n v="5760"/>
  </r>
  <r>
    <x v="0"/>
    <x v="3"/>
    <x v="9"/>
    <x v="2"/>
    <x v="8"/>
    <x v="43"/>
    <x v="32"/>
    <x v="1"/>
    <n v="0"/>
  </r>
  <r>
    <x v="0"/>
    <x v="3"/>
    <x v="9"/>
    <x v="5"/>
    <x v="8"/>
    <x v="123"/>
    <x v="568"/>
    <x v="1"/>
    <n v="14430"/>
  </r>
  <r>
    <x v="0"/>
    <x v="3"/>
    <x v="9"/>
    <x v="1"/>
    <x v="9"/>
    <x v="289"/>
    <x v="569"/>
    <x v="2"/>
    <n v="41240"/>
  </r>
  <r>
    <x v="0"/>
    <x v="3"/>
    <x v="9"/>
    <x v="8"/>
    <x v="9"/>
    <x v="43"/>
    <x v="32"/>
    <x v="2"/>
    <n v="0"/>
  </r>
  <r>
    <x v="0"/>
    <x v="3"/>
    <x v="9"/>
    <x v="9"/>
    <x v="9"/>
    <x v="7"/>
    <x v="23"/>
    <x v="2"/>
    <n v="800"/>
  </r>
  <r>
    <x v="0"/>
    <x v="3"/>
    <x v="9"/>
    <x v="9"/>
    <x v="10"/>
    <x v="241"/>
    <x v="570"/>
    <x v="2"/>
    <n v="22410"/>
  </r>
  <r>
    <x v="0"/>
    <x v="3"/>
    <x v="9"/>
    <x v="2"/>
    <x v="11"/>
    <x v="124"/>
    <x v="571"/>
    <x v="2"/>
    <n v="24080"/>
  </r>
  <r>
    <x v="0"/>
    <x v="3"/>
    <x v="9"/>
    <x v="0"/>
    <x v="11"/>
    <x v="248"/>
    <x v="572"/>
    <x v="2"/>
    <n v="51600"/>
  </r>
  <r>
    <x v="0"/>
    <x v="3"/>
    <x v="9"/>
    <x v="5"/>
    <x v="11"/>
    <x v="243"/>
    <x v="573"/>
    <x v="2"/>
    <n v="12685"/>
  </r>
  <r>
    <x v="0"/>
    <x v="3"/>
    <x v="9"/>
    <x v="3"/>
    <x v="11"/>
    <x v="234"/>
    <x v="422"/>
    <x v="2"/>
    <n v="17329"/>
  </r>
  <r>
    <x v="0"/>
    <x v="3"/>
    <x v="9"/>
    <x v="4"/>
    <x v="11"/>
    <x v="290"/>
    <x v="574"/>
    <x v="2"/>
    <n v="30616"/>
  </r>
  <r>
    <x v="0"/>
    <x v="3"/>
    <x v="9"/>
    <x v="1"/>
    <x v="11"/>
    <x v="291"/>
    <x v="575"/>
    <x v="2"/>
    <n v="10922"/>
  </r>
  <r>
    <x v="0"/>
    <x v="3"/>
    <x v="9"/>
    <x v="7"/>
    <x v="11"/>
    <x v="52"/>
    <x v="473"/>
    <x v="2"/>
    <n v="16985"/>
  </r>
  <r>
    <x v="0"/>
    <x v="3"/>
    <x v="9"/>
    <x v="9"/>
    <x v="12"/>
    <x v="30"/>
    <x v="576"/>
    <x v="3"/>
    <n v="2475"/>
  </r>
  <r>
    <x v="0"/>
    <x v="3"/>
    <x v="9"/>
    <x v="0"/>
    <x v="13"/>
    <x v="84"/>
    <x v="577"/>
    <x v="3"/>
    <n v="735"/>
  </r>
  <r>
    <x v="0"/>
    <x v="3"/>
    <x v="9"/>
    <x v="3"/>
    <x v="13"/>
    <x v="61"/>
    <x v="578"/>
    <x v="3"/>
    <n v="686"/>
  </r>
  <r>
    <x v="0"/>
    <x v="3"/>
    <x v="9"/>
    <x v="7"/>
    <x v="13"/>
    <x v="292"/>
    <x v="579"/>
    <x v="3"/>
    <n v="14749"/>
  </r>
  <r>
    <x v="0"/>
    <x v="3"/>
    <x v="9"/>
    <x v="8"/>
    <x v="13"/>
    <x v="8"/>
    <x v="580"/>
    <x v="3"/>
    <n v="4900"/>
  </r>
  <r>
    <x v="0"/>
    <x v="3"/>
    <x v="9"/>
    <x v="2"/>
    <x v="14"/>
    <x v="81"/>
    <x v="115"/>
    <x v="3"/>
    <n v="10000"/>
  </r>
  <r>
    <x v="0"/>
    <x v="3"/>
    <x v="9"/>
    <x v="5"/>
    <x v="14"/>
    <x v="35"/>
    <x v="39"/>
    <x v="3"/>
    <n v="25000"/>
  </r>
  <r>
    <x v="0"/>
    <x v="3"/>
    <x v="9"/>
    <x v="6"/>
    <x v="14"/>
    <x v="73"/>
    <x v="581"/>
    <x v="3"/>
    <n v="35000"/>
  </r>
  <r>
    <x v="0"/>
    <x v="3"/>
    <x v="9"/>
    <x v="4"/>
    <x v="14"/>
    <x v="31"/>
    <x v="368"/>
    <x v="3"/>
    <n v="17000"/>
  </r>
  <r>
    <x v="0"/>
    <x v="3"/>
    <x v="9"/>
    <x v="1"/>
    <x v="14"/>
    <x v="293"/>
    <x v="582"/>
    <x v="3"/>
    <n v="34200"/>
  </r>
  <r>
    <x v="0"/>
    <x v="3"/>
    <x v="9"/>
    <x v="7"/>
    <x v="14"/>
    <x v="43"/>
    <x v="32"/>
    <x v="3"/>
    <n v="0"/>
  </r>
  <r>
    <x v="0"/>
    <x v="3"/>
    <x v="9"/>
    <x v="2"/>
    <x v="15"/>
    <x v="294"/>
    <x v="583"/>
    <x v="4"/>
    <n v="20735"/>
  </r>
  <r>
    <x v="0"/>
    <x v="3"/>
    <x v="9"/>
    <x v="0"/>
    <x v="15"/>
    <x v="295"/>
    <x v="584"/>
    <x v="4"/>
    <n v="29425"/>
  </r>
  <r>
    <x v="0"/>
    <x v="3"/>
    <x v="9"/>
    <x v="5"/>
    <x v="15"/>
    <x v="3"/>
    <x v="585"/>
    <x v="4"/>
    <n v="2750"/>
  </r>
  <r>
    <x v="0"/>
    <x v="3"/>
    <x v="9"/>
    <x v="3"/>
    <x v="15"/>
    <x v="296"/>
    <x v="586"/>
    <x v="4"/>
    <n v="60830"/>
  </r>
  <r>
    <x v="0"/>
    <x v="3"/>
    <x v="9"/>
    <x v="4"/>
    <x v="15"/>
    <x v="297"/>
    <x v="587"/>
    <x v="4"/>
    <n v="12540"/>
  </r>
  <r>
    <x v="0"/>
    <x v="3"/>
    <x v="9"/>
    <x v="1"/>
    <x v="15"/>
    <x v="168"/>
    <x v="588"/>
    <x v="4"/>
    <n v="330"/>
  </r>
  <r>
    <x v="0"/>
    <x v="3"/>
    <x v="9"/>
    <x v="7"/>
    <x v="15"/>
    <x v="27"/>
    <x v="589"/>
    <x v="4"/>
    <n v="35200"/>
  </r>
  <r>
    <x v="0"/>
    <x v="3"/>
    <x v="9"/>
    <x v="8"/>
    <x v="15"/>
    <x v="298"/>
    <x v="590"/>
    <x v="4"/>
    <n v="32285"/>
  </r>
  <r>
    <x v="0"/>
    <x v="3"/>
    <x v="9"/>
    <x v="5"/>
    <x v="16"/>
    <x v="81"/>
    <x v="378"/>
    <x v="4"/>
    <n v="11600"/>
  </r>
  <r>
    <x v="0"/>
    <x v="3"/>
    <x v="9"/>
    <x v="6"/>
    <x v="16"/>
    <x v="100"/>
    <x v="437"/>
    <x v="4"/>
    <n v="12180"/>
  </r>
  <r>
    <x v="0"/>
    <x v="3"/>
    <x v="9"/>
    <x v="4"/>
    <x v="16"/>
    <x v="53"/>
    <x v="591"/>
    <x v="4"/>
    <n v="2030"/>
  </r>
  <r>
    <x v="0"/>
    <x v="3"/>
    <x v="9"/>
    <x v="1"/>
    <x v="16"/>
    <x v="299"/>
    <x v="592"/>
    <x v="4"/>
    <n v="2552"/>
  </r>
  <r>
    <x v="0"/>
    <x v="3"/>
    <x v="9"/>
    <x v="9"/>
    <x v="17"/>
    <x v="281"/>
    <x v="593"/>
    <x v="4"/>
    <n v="11100"/>
  </r>
  <r>
    <x v="0"/>
    <x v="3"/>
    <x v="9"/>
    <x v="2"/>
    <x v="18"/>
    <x v="81"/>
    <x v="201"/>
    <x v="5"/>
    <n v="13000"/>
  </r>
  <r>
    <x v="0"/>
    <x v="3"/>
    <x v="9"/>
    <x v="0"/>
    <x v="18"/>
    <x v="300"/>
    <x v="594"/>
    <x v="5"/>
    <n v="38675"/>
  </r>
  <r>
    <x v="0"/>
    <x v="3"/>
    <x v="9"/>
    <x v="5"/>
    <x v="18"/>
    <x v="43"/>
    <x v="32"/>
    <x v="5"/>
    <n v="0"/>
  </r>
  <r>
    <x v="0"/>
    <x v="3"/>
    <x v="9"/>
    <x v="3"/>
    <x v="18"/>
    <x v="301"/>
    <x v="595"/>
    <x v="5"/>
    <n v="23335"/>
  </r>
  <r>
    <x v="0"/>
    <x v="3"/>
    <x v="9"/>
    <x v="1"/>
    <x v="18"/>
    <x v="137"/>
    <x v="200"/>
    <x v="5"/>
    <n v="2795"/>
  </r>
  <r>
    <x v="0"/>
    <x v="3"/>
    <x v="9"/>
    <x v="7"/>
    <x v="18"/>
    <x v="32"/>
    <x v="265"/>
    <x v="5"/>
    <n v="9100"/>
  </r>
  <r>
    <x v="0"/>
    <x v="3"/>
    <x v="9"/>
    <x v="8"/>
    <x v="18"/>
    <x v="52"/>
    <x v="58"/>
    <x v="5"/>
    <n v="25675"/>
  </r>
  <r>
    <x v="0"/>
    <x v="3"/>
    <x v="9"/>
    <x v="9"/>
    <x v="18"/>
    <x v="90"/>
    <x v="596"/>
    <x v="5"/>
    <n v="18200"/>
  </r>
  <r>
    <x v="0"/>
    <x v="3"/>
    <x v="9"/>
    <x v="5"/>
    <x v="19"/>
    <x v="102"/>
    <x v="136"/>
    <x v="5"/>
    <n v="4550"/>
  </r>
  <r>
    <x v="0"/>
    <x v="3"/>
    <x v="9"/>
    <x v="6"/>
    <x v="19"/>
    <x v="65"/>
    <x v="597"/>
    <x v="5"/>
    <n v="5250"/>
  </r>
  <r>
    <x v="0"/>
    <x v="3"/>
    <x v="9"/>
    <x v="9"/>
    <x v="19"/>
    <x v="10"/>
    <x v="598"/>
    <x v="5"/>
    <n v="16100"/>
  </r>
  <r>
    <x v="0"/>
    <x v="3"/>
    <x v="9"/>
    <x v="2"/>
    <x v="20"/>
    <x v="302"/>
    <x v="599"/>
    <x v="5"/>
    <n v="1200"/>
  </r>
  <r>
    <x v="0"/>
    <x v="3"/>
    <x v="9"/>
    <x v="0"/>
    <x v="20"/>
    <x v="87"/>
    <x v="600"/>
    <x v="5"/>
    <n v="20025"/>
  </r>
  <r>
    <x v="0"/>
    <x v="3"/>
    <x v="9"/>
    <x v="3"/>
    <x v="20"/>
    <x v="303"/>
    <x v="601"/>
    <x v="5"/>
    <n v="11775"/>
  </r>
  <r>
    <x v="0"/>
    <x v="3"/>
    <x v="9"/>
    <x v="1"/>
    <x v="20"/>
    <x v="302"/>
    <x v="599"/>
    <x v="5"/>
    <n v="1200"/>
  </r>
  <r>
    <x v="0"/>
    <x v="3"/>
    <x v="9"/>
    <x v="7"/>
    <x v="20"/>
    <x v="304"/>
    <x v="602"/>
    <x v="5"/>
    <n v="2025"/>
  </r>
  <r>
    <x v="0"/>
    <x v="3"/>
    <x v="9"/>
    <x v="8"/>
    <x v="20"/>
    <x v="4"/>
    <x v="139"/>
    <x v="5"/>
    <n v="9750"/>
  </r>
  <r>
    <x v="0"/>
    <x v="3"/>
    <x v="9"/>
    <x v="9"/>
    <x v="20"/>
    <x v="84"/>
    <x v="603"/>
    <x v="5"/>
    <n v="1125"/>
  </r>
  <r>
    <x v="0"/>
    <x v="3"/>
    <x v="9"/>
    <x v="1"/>
    <x v="22"/>
    <x v="129"/>
    <x v="604"/>
    <x v="5"/>
    <n v="984"/>
  </r>
  <r>
    <x v="0"/>
    <x v="3"/>
    <x v="9"/>
    <x v="7"/>
    <x v="22"/>
    <x v="143"/>
    <x v="605"/>
    <x v="5"/>
    <n v="246"/>
  </r>
  <r>
    <x v="0"/>
    <x v="3"/>
    <x v="9"/>
    <x v="8"/>
    <x v="22"/>
    <x v="29"/>
    <x v="211"/>
    <x v="5"/>
    <n v="2460"/>
  </r>
  <r>
    <x v="0"/>
    <x v="3"/>
    <x v="9"/>
    <x v="2"/>
    <x v="23"/>
    <x v="74"/>
    <x v="606"/>
    <x v="5"/>
    <n v="5100"/>
  </r>
  <r>
    <x v="0"/>
    <x v="3"/>
    <x v="9"/>
    <x v="3"/>
    <x v="23"/>
    <x v="139"/>
    <x v="607"/>
    <x v="5"/>
    <n v="3145"/>
  </r>
  <r>
    <x v="0"/>
    <x v="3"/>
    <x v="9"/>
    <x v="1"/>
    <x v="23"/>
    <x v="45"/>
    <x v="74"/>
    <x v="5"/>
    <n v="85"/>
  </r>
  <r>
    <x v="0"/>
    <x v="3"/>
    <x v="9"/>
    <x v="7"/>
    <x v="24"/>
    <x v="305"/>
    <x v="608"/>
    <x v="5"/>
    <n v="6192"/>
  </r>
  <r>
    <x v="0"/>
    <x v="3"/>
    <x v="9"/>
    <x v="7"/>
    <x v="25"/>
    <x v="143"/>
    <x v="215"/>
    <x v="5"/>
    <n v="294"/>
  </r>
  <r>
    <x v="0"/>
    <x v="3"/>
    <x v="9"/>
    <x v="1"/>
    <x v="26"/>
    <x v="43"/>
    <x v="32"/>
    <x v="5"/>
    <n v="0"/>
  </r>
  <r>
    <x v="0"/>
    <x v="3"/>
    <x v="10"/>
    <x v="0"/>
    <x v="0"/>
    <x v="45"/>
    <x v="609"/>
    <x v="0"/>
    <n v="18.5"/>
  </r>
  <r>
    <x v="0"/>
    <x v="3"/>
    <x v="10"/>
    <x v="1"/>
    <x v="0"/>
    <x v="84"/>
    <x v="508"/>
    <x v="0"/>
    <n v="277.5"/>
  </r>
  <r>
    <x v="0"/>
    <x v="3"/>
    <x v="10"/>
    <x v="2"/>
    <x v="1"/>
    <x v="43"/>
    <x v="32"/>
    <x v="0"/>
    <n v="0"/>
  </r>
  <r>
    <x v="0"/>
    <x v="3"/>
    <x v="10"/>
    <x v="0"/>
    <x v="2"/>
    <x v="143"/>
    <x v="610"/>
    <x v="0"/>
    <n v="64.5"/>
  </r>
  <r>
    <x v="0"/>
    <x v="3"/>
    <x v="10"/>
    <x v="3"/>
    <x v="2"/>
    <x v="43"/>
    <x v="32"/>
    <x v="0"/>
    <n v="0"/>
  </r>
  <r>
    <x v="0"/>
    <x v="3"/>
    <x v="10"/>
    <x v="2"/>
    <x v="3"/>
    <x v="244"/>
    <x v="611"/>
    <x v="0"/>
    <n v="561.6"/>
  </r>
  <r>
    <x v="0"/>
    <x v="3"/>
    <x v="10"/>
    <x v="0"/>
    <x v="4"/>
    <x v="3"/>
    <x v="612"/>
    <x v="0"/>
    <n v="1180"/>
  </r>
  <r>
    <x v="0"/>
    <x v="3"/>
    <x v="10"/>
    <x v="4"/>
    <x v="4"/>
    <x v="122"/>
    <x v="613"/>
    <x v="0"/>
    <n v="8968"/>
  </r>
  <r>
    <x v="0"/>
    <x v="3"/>
    <x v="10"/>
    <x v="1"/>
    <x v="4"/>
    <x v="306"/>
    <x v="614"/>
    <x v="0"/>
    <n v="11210"/>
  </r>
  <r>
    <x v="0"/>
    <x v="3"/>
    <x v="10"/>
    <x v="5"/>
    <x v="5"/>
    <x v="159"/>
    <x v="283"/>
    <x v="0"/>
    <n v="7140"/>
  </r>
  <r>
    <x v="0"/>
    <x v="3"/>
    <x v="10"/>
    <x v="0"/>
    <x v="6"/>
    <x v="74"/>
    <x v="615"/>
    <x v="0"/>
    <n v="1680"/>
  </r>
  <r>
    <x v="0"/>
    <x v="3"/>
    <x v="10"/>
    <x v="2"/>
    <x v="7"/>
    <x v="109"/>
    <x v="616"/>
    <x v="0"/>
    <n v="2880"/>
  </r>
  <r>
    <x v="0"/>
    <x v="3"/>
    <x v="10"/>
    <x v="0"/>
    <x v="7"/>
    <x v="253"/>
    <x v="617"/>
    <x v="0"/>
    <n v="40000"/>
  </r>
  <r>
    <x v="0"/>
    <x v="3"/>
    <x v="10"/>
    <x v="6"/>
    <x v="7"/>
    <x v="10"/>
    <x v="12"/>
    <x v="0"/>
    <n v="7360"/>
  </r>
  <r>
    <x v="0"/>
    <x v="3"/>
    <x v="10"/>
    <x v="3"/>
    <x v="7"/>
    <x v="307"/>
    <x v="618"/>
    <x v="0"/>
    <n v="30208"/>
  </r>
  <r>
    <x v="0"/>
    <x v="3"/>
    <x v="10"/>
    <x v="4"/>
    <x v="7"/>
    <x v="308"/>
    <x v="619"/>
    <x v="0"/>
    <n v="29376"/>
  </r>
  <r>
    <x v="0"/>
    <x v="3"/>
    <x v="10"/>
    <x v="1"/>
    <x v="7"/>
    <x v="309"/>
    <x v="620"/>
    <x v="0"/>
    <n v="25504"/>
  </r>
  <r>
    <x v="0"/>
    <x v="3"/>
    <x v="10"/>
    <x v="7"/>
    <x v="7"/>
    <x v="167"/>
    <x v="621"/>
    <x v="0"/>
    <n v="9120"/>
  </r>
  <r>
    <x v="0"/>
    <x v="3"/>
    <x v="10"/>
    <x v="8"/>
    <x v="7"/>
    <x v="310"/>
    <x v="622"/>
    <x v="0"/>
    <n v="17376"/>
  </r>
  <r>
    <x v="0"/>
    <x v="3"/>
    <x v="10"/>
    <x v="9"/>
    <x v="7"/>
    <x v="154"/>
    <x v="465"/>
    <x v="0"/>
    <n v="5120"/>
  </r>
  <r>
    <x v="0"/>
    <x v="3"/>
    <x v="10"/>
    <x v="2"/>
    <x v="8"/>
    <x v="43"/>
    <x v="32"/>
    <x v="1"/>
    <n v="0"/>
  </r>
  <r>
    <x v="0"/>
    <x v="3"/>
    <x v="10"/>
    <x v="5"/>
    <x v="8"/>
    <x v="34"/>
    <x v="623"/>
    <x v="1"/>
    <n v="14625"/>
  </r>
  <r>
    <x v="0"/>
    <x v="3"/>
    <x v="10"/>
    <x v="1"/>
    <x v="9"/>
    <x v="311"/>
    <x v="624"/>
    <x v="2"/>
    <n v="38120"/>
  </r>
  <r>
    <x v="0"/>
    <x v="3"/>
    <x v="10"/>
    <x v="8"/>
    <x v="9"/>
    <x v="43"/>
    <x v="32"/>
    <x v="2"/>
    <n v="0"/>
  </r>
  <r>
    <x v="0"/>
    <x v="3"/>
    <x v="10"/>
    <x v="9"/>
    <x v="9"/>
    <x v="48"/>
    <x v="625"/>
    <x v="2"/>
    <n v="1000"/>
  </r>
  <r>
    <x v="0"/>
    <x v="3"/>
    <x v="10"/>
    <x v="9"/>
    <x v="10"/>
    <x v="312"/>
    <x v="626"/>
    <x v="2"/>
    <n v="26352.5"/>
  </r>
  <r>
    <x v="0"/>
    <x v="3"/>
    <x v="10"/>
    <x v="2"/>
    <x v="11"/>
    <x v="313"/>
    <x v="627"/>
    <x v="2"/>
    <n v="27649"/>
  </r>
  <r>
    <x v="0"/>
    <x v="3"/>
    <x v="10"/>
    <x v="0"/>
    <x v="11"/>
    <x v="314"/>
    <x v="628"/>
    <x v="2"/>
    <n v="49450"/>
  </r>
  <r>
    <x v="0"/>
    <x v="3"/>
    <x v="10"/>
    <x v="5"/>
    <x v="11"/>
    <x v="315"/>
    <x v="629"/>
    <x v="2"/>
    <n v="12771"/>
  </r>
  <r>
    <x v="0"/>
    <x v="3"/>
    <x v="10"/>
    <x v="3"/>
    <x v="11"/>
    <x v="316"/>
    <x v="630"/>
    <x v="2"/>
    <n v="14190"/>
  </r>
  <r>
    <x v="0"/>
    <x v="3"/>
    <x v="10"/>
    <x v="4"/>
    <x v="11"/>
    <x v="317"/>
    <x v="631"/>
    <x v="2"/>
    <n v="36980"/>
  </r>
  <r>
    <x v="0"/>
    <x v="3"/>
    <x v="10"/>
    <x v="1"/>
    <x v="11"/>
    <x v="318"/>
    <x v="632"/>
    <x v="2"/>
    <n v="11567"/>
  </r>
  <r>
    <x v="0"/>
    <x v="3"/>
    <x v="10"/>
    <x v="7"/>
    <x v="11"/>
    <x v="319"/>
    <x v="633"/>
    <x v="2"/>
    <n v="13889"/>
  </r>
  <r>
    <x v="0"/>
    <x v="3"/>
    <x v="10"/>
    <x v="9"/>
    <x v="12"/>
    <x v="245"/>
    <x v="634"/>
    <x v="3"/>
    <n v="2565"/>
  </r>
  <r>
    <x v="0"/>
    <x v="3"/>
    <x v="10"/>
    <x v="0"/>
    <x v="13"/>
    <x v="45"/>
    <x v="635"/>
    <x v="3"/>
    <n v="49"/>
  </r>
  <r>
    <x v="0"/>
    <x v="3"/>
    <x v="10"/>
    <x v="3"/>
    <x v="13"/>
    <x v="38"/>
    <x v="526"/>
    <x v="3"/>
    <n v="245"/>
  </r>
  <r>
    <x v="0"/>
    <x v="3"/>
    <x v="10"/>
    <x v="7"/>
    <x v="13"/>
    <x v="316"/>
    <x v="636"/>
    <x v="3"/>
    <n v="16170"/>
  </r>
  <r>
    <x v="0"/>
    <x v="3"/>
    <x v="10"/>
    <x v="8"/>
    <x v="13"/>
    <x v="102"/>
    <x v="637"/>
    <x v="3"/>
    <n v="3185"/>
  </r>
  <r>
    <x v="0"/>
    <x v="3"/>
    <x v="10"/>
    <x v="2"/>
    <x v="14"/>
    <x v="320"/>
    <x v="638"/>
    <x v="3"/>
    <n v="12300"/>
  </r>
  <r>
    <x v="0"/>
    <x v="3"/>
    <x v="10"/>
    <x v="5"/>
    <x v="14"/>
    <x v="92"/>
    <x v="639"/>
    <x v="3"/>
    <n v="22500"/>
  </r>
  <r>
    <x v="0"/>
    <x v="3"/>
    <x v="10"/>
    <x v="6"/>
    <x v="14"/>
    <x v="321"/>
    <x v="640"/>
    <x v="3"/>
    <n v="36000"/>
  </r>
  <r>
    <x v="0"/>
    <x v="3"/>
    <x v="10"/>
    <x v="4"/>
    <x v="14"/>
    <x v="278"/>
    <x v="641"/>
    <x v="3"/>
    <n v="18250"/>
  </r>
  <r>
    <x v="0"/>
    <x v="3"/>
    <x v="10"/>
    <x v="1"/>
    <x v="14"/>
    <x v="322"/>
    <x v="642"/>
    <x v="3"/>
    <n v="35800"/>
  </r>
  <r>
    <x v="0"/>
    <x v="3"/>
    <x v="10"/>
    <x v="7"/>
    <x v="14"/>
    <x v="43"/>
    <x v="32"/>
    <x v="3"/>
    <n v="0"/>
  </r>
  <r>
    <x v="0"/>
    <x v="3"/>
    <x v="10"/>
    <x v="2"/>
    <x v="15"/>
    <x v="323"/>
    <x v="643"/>
    <x v="4"/>
    <n v="19140"/>
  </r>
  <r>
    <x v="0"/>
    <x v="3"/>
    <x v="10"/>
    <x v="0"/>
    <x v="15"/>
    <x v="35"/>
    <x v="644"/>
    <x v="4"/>
    <n v="27500"/>
  </r>
  <r>
    <x v="0"/>
    <x v="3"/>
    <x v="10"/>
    <x v="5"/>
    <x v="15"/>
    <x v="29"/>
    <x v="534"/>
    <x v="4"/>
    <n v="1650"/>
  </r>
  <r>
    <x v="0"/>
    <x v="3"/>
    <x v="10"/>
    <x v="3"/>
    <x v="15"/>
    <x v="324"/>
    <x v="645"/>
    <x v="4"/>
    <n v="58135"/>
  </r>
  <r>
    <x v="0"/>
    <x v="3"/>
    <x v="10"/>
    <x v="4"/>
    <x v="15"/>
    <x v="76"/>
    <x v="646"/>
    <x v="4"/>
    <n v="14850"/>
  </r>
  <r>
    <x v="0"/>
    <x v="3"/>
    <x v="10"/>
    <x v="1"/>
    <x v="15"/>
    <x v="2"/>
    <x v="647"/>
    <x v="4"/>
    <n v="440"/>
  </r>
  <r>
    <x v="0"/>
    <x v="3"/>
    <x v="10"/>
    <x v="7"/>
    <x v="15"/>
    <x v="300"/>
    <x v="648"/>
    <x v="4"/>
    <n v="32725"/>
  </r>
  <r>
    <x v="0"/>
    <x v="3"/>
    <x v="10"/>
    <x v="8"/>
    <x v="15"/>
    <x v="325"/>
    <x v="649"/>
    <x v="4"/>
    <n v="30525"/>
  </r>
  <r>
    <x v="0"/>
    <x v="3"/>
    <x v="10"/>
    <x v="5"/>
    <x v="16"/>
    <x v="154"/>
    <x v="650"/>
    <x v="4"/>
    <n v="9280"/>
  </r>
  <r>
    <x v="0"/>
    <x v="3"/>
    <x v="10"/>
    <x v="6"/>
    <x v="16"/>
    <x v="81"/>
    <x v="378"/>
    <x v="4"/>
    <n v="11600"/>
  </r>
  <r>
    <x v="0"/>
    <x v="3"/>
    <x v="10"/>
    <x v="4"/>
    <x v="16"/>
    <x v="20"/>
    <x v="651"/>
    <x v="4"/>
    <n v="2610"/>
  </r>
  <r>
    <x v="0"/>
    <x v="3"/>
    <x v="10"/>
    <x v="1"/>
    <x v="16"/>
    <x v="7"/>
    <x v="652"/>
    <x v="4"/>
    <n v="1160"/>
  </r>
  <r>
    <x v="0"/>
    <x v="3"/>
    <x v="10"/>
    <x v="9"/>
    <x v="17"/>
    <x v="51"/>
    <x v="653"/>
    <x v="4"/>
    <n v="10200"/>
  </r>
  <r>
    <x v="0"/>
    <x v="3"/>
    <x v="10"/>
    <x v="2"/>
    <x v="18"/>
    <x v="326"/>
    <x v="654"/>
    <x v="5"/>
    <n v="12935"/>
  </r>
  <r>
    <x v="0"/>
    <x v="3"/>
    <x v="10"/>
    <x v="0"/>
    <x v="18"/>
    <x v="327"/>
    <x v="655"/>
    <x v="5"/>
    <n v="37050"/>
  </r>
  <r>
    <x v="0"/>
    <x v="3"/>
    <x v="10"/>
    <x v="5"/>
    <x v="18"/>
    <x v="43"/>
    <x v="32"/>
    <x v="5"/>
    <n v="0"/>
  </r>
  <r>
    <x v="0"/>
    <x v="3"/>
    <x v="10"/>
    <x v="3"/>
    <x v="18"/>
    <x v="25"/>
    <x v="493"/>
    <x v="5"/>
    <n v="27300"/>
  </r>
  <r>
    <x v="0"/>
    <x v="3"/>
    <x v="10"/>
    <x v="1"/>
    <x v="18"/>
    <x v="106"/>
    <x v="656"/>
    <x v="5"/>
    <n v="3640"/>
  </r>
  <r>
    <x v="0"/>
    <x v="3"/>
    <x v="10"/>
    <x v="7"/>
    <x v="18"/>
    <x v="328"/>
    <x v="657"/>
    <x v="5"/>
    <n v="6955"/>
  </r>
  <r>
    <x v="0"/>
    <x v="3"/>
    <x v="10"/>
    <x v="8"/>
    <x v="18"/>
    <x v="329"/>
    <x v="658"/>
    <x v="5"/>
    <n v="25480"/>
  </r>
  <r>
    <x v="0"/>
    <x v="3"/>
    <x v="10"/>
    <x v="9"/>
    <x v="18"/>
    <x v="159"/>
    <x v="659"/>
    <x v="5"/>
    <n v="19500"/>
  </r>
  <r>
    <x v="0"/>
    <x v="3"/>
    <x v="10"/>
    <x v="5"/>
    <x v="19"/>
    <x v="20"/>
    <x v="660"/>
    <x v="5"/>
    <n v="3150"/>
  </r>
  <r>
    <x v="0"/>
    <x v="3"/>
    <x v="10"/>
    <x v="6"/>
    <x v="19"/>
    <x v="16"/>
    <x v="60"/>
    <x v="5"/>
    <n v="4900"/>
  </r>
  <r>
    <x v="0"/>
    <x v="3"/>
    <x v="10"/>
    <x v="9"/>
    <x v="19"/>
    <x v="184"/>
    <x v="661"/>
    <x v="5"/>
    <n v="15750"/>
  </r>
  <r>
    <x v="0"/>
    <x v="3"/>
    <x v="10"/>
    <x v="2"/>
    <x v="20"/>
    <x v="129"/>
    <x v="662"/>
    <x v="5"/>
    <n v="900"/>
  </r>
  <r>
    <x v="0"/>
    <x v="3"/>
    <x v="10"/>
    <x v="0"/>
    <x v="20"/>
    <x v="100"/>
    <x v="663"/>
    <x v="5"/>
    <n v="15750"/>
  </r>
  <r>
    <x v="0"/>
    <x v="3"/>
    <x v="10"/>
    <x v="3"/>
    <x v="20"/>
    <x v="330"/>
    <x v="664"/>
    <x v="5"/>
    <n v="11025"/>
  </r>
  <r>
    <x v="0"/>
    <x v="3"/>
    <x v="10"/>
    <x v="1"/>
    <x v="20"/>
    <x v="1"/>
    <x v="665"/>
    <x v="5"/>
    <n v="1425"/>
  </r>
  <r>
    <x v="0"/>
    <x v="3"/>
    <x v="10"/>
    <x v="7"/>
    <x v="20"/>
    <x v="135"/>
    <x v="499"/>
    <x v="5"/>
    <n v="1725"/>
  </r>
  <r>
    <x v="0"/>
    <x v="3"/>
    <x v="10"/>
    <x v="8"/>
    <x v="20"/>
    <x v="41"/>
    <x v="666"/>
    <x v="5"/>
    <n v="8250"/>
  </r>
  <r>
    <x v="0"/>
    <x v="3"/>
    <x v="10"/>
    <x v="9"/>
    <x v="20"/>
    <x v="84"/>
    <x v="603"/>
    <x v="5"/>
    <n v="1125"/>
  </r>
  <r>
    <x v="0"/>
    <x v="3"/>
    <x v="10"/>
    <x v="1"/>
    <x v="22"/>
    <x v="0"/>
    <x v="667"/>
    <x v="5"/>
    <n v="820"/>
  </r>
  <r>
    <x v="0"/>
    <x v="3"/>
    <x v="10"/>
    <x v="7"/>
    <x v="22"/>
    <x v="143"/>
    <x v="605"/>
    <x v="5"/>
    <n v="246"/>
  </r>
  <r>
    <x v="0"/>
    <x v="3"/>
    <x v="10"/>
    <x v="8"/>
    <x v="22"/>
    <x v="48"/>
    <x v="451"/>
    <x v="5"/>
    <n v="2050"/>
  </r>
  <r>
    <x v="0"/>
    <x v="3"/>
    <x v="10"/>
    <x v="2"/>
    <x v="23"/>
    <x v="56"/>
    <x v="668"/>
    <x v="5"/>
    <n v="5610"/>
  </r>
  <r>
    <x v="0"/>
    <x v="3"/>
    <x v="10"/>
    <x v="3"/>
    <x v="23"/>
    <x v="169"/>
    <x v="505"/>
    <x v="5"/>
    <n v="2380"/>
  </r>
  <r>
    <x v="0"/>
    <x v="3"/>
    <x v="10"/>
    <x v="1"/>
    <x v="23"/>
    <x v="45"/>
    <x v="74"/>
    <x v="5"/>
    <n v="85"/>
  </r>
  <r>
    <x v="0"/>
    <x v="3"/>
    <x v="10"/>
    <x v="0"/>
    <x v="24"/>
    <x v="143"/>
    <x v="669"/>
    <x v="5"/>
    <n v="258"/>
  </r>
  <r>
    <x v="0"/>
    <x v="3"/>
    <x v="10"/>
    <x v="7"/>
    <x v="24"/>
    <x v="331"/>
    <x v="670"/>
    <x v="5"/>
    <n v="6536"/>
  </r>
  <r>
    <x v="0"/>
    <x v="3"/>
    <x v="10"/>
    <x v="0"/>
    <x v="25"/>
    <x v="168"/>
    <x v="671"/>
    <x v="5"/>
    <n v="588"/>
  </r>
  <r>
    <x v="0"/>
    <x v="3"/>
    <x v="10"/>
    <x v="7"/>
    <x v="25"/>
    <x v="143"/>
    <x v="215"/>
    <x v="5"/>
    <n v="294"/>
  </r>
  <r>
    <x v="0"/>
    <x v="3"/>
    <x v="10"/>
    <x v="1"/>
    <x v="26"/>
    <x v="45"/>
    <x v="77"/>
    <x v="5"/>
    <n v="100"/>
  </r>
  <r>
    <x v="0"/>
    <x v="3"/>
    <x v="11"/>
    <x v="0"/>
    <x v="0"/>
    <x v="45"/>
    <x v="609"/>
    <x v="0"/>
    <n v="18.5"/>
  </r>
  <r>
    <x v="0"/>
    <x v="3"/>
    <x v="11"/>
    <x v="1"/>
    <x v="0"/>
    <x v="283"/>
    <x v="672"/>
    <x v="0"/>
    <n v="333"/>
  </r>
  <r>
    <x v="0"/>
    <x v="3"/>
    <x v="11"/>
    <x v="0"/>
    <x v="2"/>
    <x v="143"/>
    <x v="610"/>
    <x v="0"/>
    <n v="64.5"/>
  </r>
  <r>
    <x v="0"/>
    <x v="3"/>
    <x v="11"/>
    <x v="2"/>
    <x v="3"/>
    <x v="202"/>
    <x v="673"/>
    <x v="0"/>
    <n v="777.6"/>
  </r>
  <r>
    <x v="0"/>
    <x v="3"/>
    <x v="11"/>
    <x v="0"/>
    <x v="4"/>
    <x v="3"/>
    <x v="612"/>
    <x v="0"/>
    <n v="1180"/>
  </r>
  <r>
    <x v="0"/>
    <x v="3"/>
    <x v="11"/>
    <x v="4"/>
    <x v="4"/>
    <x v="185"/>
    <x v="674"/>
    <x v="0"/>
    <n v="8260"/>
  </r>
  <r>
    <x v="0"/>
    <x v="3"/>
    <x v="11"/>
    <x v="1"/>
    <x v="4"/>
    <x v="332"/>
    <x v="675"/>
    <x v="0"/>
    <n v="13027.2"/>
  </r>
  <r>
    <x v="0"/>
    <x v="3"/>
    <x v="11"/>
    <x v="5"/>
    <x v="5"/>
    <x v="333"/>
    <x v="676"/>
    <x v="0"/>
    <n v="5831"/>
  </r>
  <r>
    <x v="0"/>
    <x v="3"/>
    <x v="11"/>
    <x v="0"/>
    <x v="6"/>
    <x v="58"/>
    <x v="677"/>
    <x v="0"/>
    <n v="1120"/>
  </r>
  <r>
    <x v="0"/>
    <x v="3"/>
    <x v="11"/>
    <x v="2"/>
    <x v="7"/>
    <x v="334"/>
    <x v="678"/>
    <x v="0"/>
    <n v="3584"/>
  </r>
  <r>
    <x v="0"/>
    <x v="3"/>
    <x v="11"/>
    <x v="0"/>
    <x v="7"/>
    <x v="220"/>
    <x v="679"/>
    <x v="0"/>
    <n v="34560"/>
  </r>
  <r>
    <x v="0"/>
    <x v="3"/>
    <x v="11"/>
    <x v="6"/>
    <x v="7"/>
    <x v="118"/>
    <x v="287"/>
    <x v="0"/>
    <n v="8000"/>
  </r>
  <r>
    <x v="0"/>
    <x v="3"/>
    <x v="11"/>
    <x v="3"/>
    <x v="7"/>
    <x v="335"/>
    <x v="680"/>
    <x v="0"/>
    <n v="29184"/>
  </r>
  <r>
    <x v="0"/>
    <x v="3"/>
    <x v="11"/>
    <x v="4"/>
    <x v="7"/>
    <x v="314"/>
    <x v="681"/>
    <x v="0"/>
    <n v="36800"/>
  </r>
  <r>
    <x v="0"/>
    <x v="3"/>
    <x v="11"/>
    <x v="1"/>
    <x v="7"/>
    <x v="206"/>
    <x v="346"/>
    <x v="0"/>
    <n v="30080"/>
  </r>
  <r>
    <x v="0"/>
    <x v="3"/>
    <x v="11"/>
    <x v="7"/>
    <x v="7"/>
    <x v="159"/>
    <x v="463"/>
    <x v="0"/>
    <n v="9600"/>
  </r>
  <r>
    <x v="0"/>
    <x v="3"/>
    <x v="11"/>
    <x v="8"/>
    <x v="7"/>
    <x v="336"/>
    <x v="682"/>
    <x v="0"/>
    <n v="32576"/>
  </r>
  <r>
    <x v="0"/>
    <x v="3"/>
    <x v="11"/>
    <x v="9"/>
    <x v="7"/>
    <x v="55"/>
    <x v="683"/>
    <x v="0"/>
    <n v="3840"/>
  </r>
  <r>
    <x v="0"/>
    <x v="3"/>
    <x v="11"/>
    <x v="5"/>
    <x v="8"/>
    <x v="72"/>
    <x v="519"/>
    <x v="1"/>
    <n v="15600"/>
  </r>
  <r>
    <x v="0"/>
    <x v="3"/>
    <x v="11"/>
    <x v="1"/>
    <x v="9"/>
    <x v="337"/>
    <x v="684"/>
    <x v="2"/>
    <n v="50880"/>
  </r>
  <r>
    <x v="0"/>
    <x v="3"/>
    <x v="11"/>
    <x v="8"/>
    <x v="9"/>
    <x v="43"/>
    <x v="32"/>
    <x v="2"/>
    <n v="0"/>
  </r>
  <r>
    <x v="0"/>
    <x v="3"/>
    <x v="11"/>
    <x v="9"/>
    <x v="9"/>
    <x v="84"/>
    <x v="685"/>
    <x v="2"/>
    <n v="600"/>
  </r>
  <r>
    <x v="0"/>
    <x v="3"/>
    <x v="11"/>
    <x v="9"/>
    <x v="27"/>
    <x v="300"/>
    <x v="686"/>
    <x v="2"/>
    <n v="24990"/>
  </r>
  <r>
    <x v="0"/>
    <x v="3"/>
    <x v="11"/>
    <x v="2"/>
    <x v="11"/>
    <x v="186"/>
    <x v="687"/>
    <x v="2"/>
    <n v="27090"/>
  </r>
  <r>
    <x v="0"/>
    <x v="3"/>
    <x v="11"/>
    <x v="0"/>
    <x v="11"/>
    <x v="80"/>
    <x v="102"/>
    <x v="2"/>
    <n v="48590"/>
  </r>
  <r>
    <x v="0"/>
    <x v="3"/>
    <x v="11"/>
    <x v="5"/>
    <x v="11"/>
    <x v="157"/>
    <x v="688"/>
    <x v="2"/>
    <n v="10320"/>
  </r>
  <r>
    <x v="0"/>
    <x v="3"/>
    <x v="11"/>
    <x v="3"/>
    <x v="11"/>
    <x v="338"/>
    <x v="689"/>
    <x v="2"/>
    <n v="13373"/>
  </r>
  <r>
    <x v="0"/>
    <x v="3"/>
    <x v="11"/>
    <x v="4"/>
    <x v="11"/>
    <x v="111"/>
    <x v="690"/>
    <x v="2"/>
    <n v="41280"/>
  </r>
  <r>
    <x v="0"/>
    <x v="3"/>
    <x v="11"/>
    <x v="1"/>
    <x v="11"/>
    <x v="86"/>
    <x v="691"/>
    <x v="2"/>
    <n v="13760"/>
  </r>
  <r>
    <x v="0"/>
    <x v="3"/>
    <x v="11"/>
    <x v="7"/>
    <x v="11"/>
    <x v="185"/>
    <x v="692"/>
    <x v="2"/>
    <n v="15050"/>
  </r>
  <r>
    <x v="0"/>
    <x v="3"/>
    <x v="11"/>
    <x v="9"/>
    <x v="12"/>
    <x v="38"/>
    <x v="364"/>
    <x v="3"/>
    <n v="225"/>
  </r>
  <r>
    <x v="0"/>
    <x v="3"/>
    <x v="11"/>
    <x v="0"/>
    <x v="13"/>
    <x v="45"/>
    <x v="635"/>
    <x v="3"/>
    <n v="49"/>
  </r>
  <r>
    <x v="0"/>
    <x v="3"/>
    <x v="11"/>
    <x v="3"/>
    <x v="13"/>
    <x v="199"/>
    <x v="335"/>
    <x v="3"/>
    <n v="196"/>
  </r>
  <r>
    <x v="0"/>
    <x v="3"/>
    <x v="11"/>
    <x v="7"/>
    <x v="13"/>
    <x v="159"/>
    <x v="693"/>
    <x v="3"/>
    <n v="14700"/>
  </r>
  <r>
    <x v="0"/>
    <x v="3"/>
    <x v="11"/>
    <x v="8"/>
    <x v="13"/>
    <x v="19"/>
    <x v="694"/>
    <x v="3"/>
    <n v="7105"/>
  </r>
  <r>
    <x v="0"/>
    <x v="3"/>
    <x v="11"/>
    <x v="2"/>
    <x v="14"/>
    <x v="333"/>
    <x v="137"/>
    <x v="3"/>
    <n v="12250"/>
  </r>
  <r>
    <x v="0"/>
    <x v="3"/>
    <x v="11"/>
    <x v="5"/>
    <x v="14"/>
    <x v="214"/>
    <x v="695"/>
    <x v="3"/>
    <n v="21500"/>
  </r>
  <r>
    <x v="0"/>
    <x v="3"/>
    <x v="11"/>
    <x v="6"/>
    <x v="14"/>
    <x v="321"/>
    <x v="640"/>
    <x v="3"/>
    <n v="36000"/>
  </r>
  <r>
    <x v="0"/>
    <x v="3"/>
    <x v="11"/>
    <x v="4"/>
    <x v="14"/>
    <x v="92"/>
    <x v="639"/>
    <x v="3"/>
    <n v="22500"/>
  </r>
  <r>
    <x v="0"/>
    <x v="3"/>
    <x v="11"/>
    <x v="1"/>
    <x v="14"/>
    <x v="339"/>
    <x v="696"/>
    <x v="3"/>
    <n v="34450"/>
  </r>
  <r>
    <x v="0"/>
    <x v="3"/>
    <x v="11"/>
    <x v="7"/>
    <x v="14"/>
    <x v="43"/>
    <x v="32"/>
    <x v="3"/>
    <n v="0"/>
  </r>
  <r>
    <x v="0"/>
    <x v="3"/>
    <x v="11"/>
    <x v="2"/>
    <x v="15"/>
    <x v="123"/>
    <x v="697"/>
    <x v="4"/>
    <n v="20350"/>
  </r>
  <r>
    <x v="0"/>
    <x v="3"/>
    <x v="11"/>
    <x v="0"/>
    <x v="15"/>
    <x v="47"/>
    <x v="372"/>
    <x v="4"/>
    <n v="33000"/>
  </r>
  <r>
    <x v="0"/>
    <x v="3"/>
    <x v="11"/>
    <x v="5"/>
    <x v="15"/>
    <x v="3"/>
    <x v="585"/>
    <x v="4"/>
    <n v="2750"/>
  </r>
  <r>
    <x v="0"/>
    <x v="3"/>
    <x v="11"/>
    <x v="3"/>
    <x v="15"/>
    <x v="340"/>
    <x v="698"/>
    <x v="4"/>
    <n v="58685"/>
  </r>
  <r>
    <x v="0"/>
    <x v="3"/>
    <x v="11"/>
    <x v="4"/>
    <x v="15"/>
    <x v="36"/>
    <x v="699"/>
    <x v="4"/>
    <n v="10450"/>
  </r>
  <r>
    <x v="0"/>
    <x v="3"/>
    <x v="11"/>
    <x v="1"/>
    <x v="15"/>
    <x v="129"/>
    <x v="190"/>
    <x v="4"/>
    <n v="660"/>
  </r>
  <r>
    <x v="0"/>
    <x v="3"/>
    <x v="11"/>
    <x v="7"/>
    <x v="15"/>
    <x v="47"/>
    <x v="372"/>
    <x v="4"/>
    <n v="33000"/>
  </r>
  <r>
    <x v="0"/>
    <x v="3"/>
    <x v="11"/>
    <x v="8"/>
    <x v="15"/>
    <x v="212"/>
    <x v="539"/>
    <x v="4"/>
    <n v="36850"/>
  </r>
  <r>
    <x v="0"/>
    <x v="3"/>
    <x v="11"/>
    <x v="5"/>
    <x v="16"/>
    <x v="55"/>
    <x v="193"/>
    <x v="4"/>
    <n v="6960"/>
  </r>
  <r>
    <x v="0"/>
    <x v="3"/>
    <x v="11"/>
    <x v="6"/>
    <x v="16"/>
    <x v="341"/>
    <x v="700"/>
    <x v="4"/>
    <n v="11890"/>
  </r>
  <r>
    <x v="0"/>
    <x v="3"/>
    <x v="11"/>
    <x v="4"/>
    <x v="16"/>
    <x v="3"/>
    <x v="48"/>
    <x v="4"/>
    <n v="2900"/>
  </r>
  <r>
    <x v="0"/>
    <x v="3"/>
    <x v="11"/>
    <x v="1"/>
    <x v="16"/>
    <x v="223"/>
    <x v="701"/>
    <x v="4"/>
    <n v="986"/>
  </r>
  <r>
    <x v="0"/>
    <x v="3"/>
    <x v="11"/>
    <x v="9"/>
    <x v="17"/>
    <x v="342"/>
    <x v="702"/>
    <x v="4"/>
    <n v="9900"/>
  </r>
  <r>
    <x v="0"/>
    <x v="3"/>
    <x v="11"/>
    <x v="2"/>
    <x v="18"/>
    <x v="343"/>
    <x v="703"/>
    <x v="5"/>
    <n v="12870"/>
  </r>
  <r>
    <x v="0"/>
    <x v="3"/>
    <x v="11"/>
    <x v="0"/>
    <x v="18"/>
    <x v="344"/>
    <x v="704"/>
    <x v="5"/>
    <n v="38025"/>
  </r>
  <r>
    <x v="0"/>
    <x v="3"/>
    <x v="11"/>
    <x v="5"/>
    <x v="18"/>
    <x v="43"/>
    <x v="32"/>
    <x v="5"/>
    <n v="0"/>
  </r>
  <r>
    <x v="0"/>
    <x v="3"/>
    <x v="11"/>
    <x v="3"/>
    <x v="18"/>
    <x v="345"/>
    <x v="705"/>
    <x v="5"/>
    <n v="28990"/>
  </r>
  <r>
    <x v="0"/>
    <x v="3"/>
    <x v="11"/>
    <x v="1"/>
    <x v="18"/>
    <x v="56"/>
    <x v="706"/>
    <x v="5"/>
    <n v="4290"/>
  </r>
  <r>
    <x v="0"/>
    <x v="3"/>
    <x v="11"/>
    <x v="7"/>
    <x v="18"/>
    <x v="41"/>
    <x v="707"/>
    <x v="5"/>
    <n v="7150"/>
  </r>
  <r>
    <x v="0"/>
    <x v="3"/>
    <x v="11"/>
    <x v="8"/>
    <x v="18"/>
    <x v="346"/>
    <x v="708"/>
    <x v="5"/>
    <n v="28275"/>
  </r>
  <r>
    <x v="0"/>
    <x v="3"/>
    <x v="11"/>
    <x v="9"/>
    <x v="18"/>
    <x v="262"/>
    <x v="709"/>
    <x v="5"/>
    <n v="17225"/>
  </r>
  <r>
    <x v="0"/>
    <x v="3"/>
    <x v="11"/>
    <x v="5"/>
    <x v="19"/>
    <x v="3"/>
    <x v="268"/>
    <x v="5"/>
    <n v="3500"/>
  </r>
  <r>
    <x v="0"/>
    <x v="3"/>
    <x v="11"/>
    <x v="6"/>
    <x v="19"/>
    <x v="94"/>
    <x v="710"/>
    <x v="5"/>
    <n v="5600"/>
  </r>
  <r>
    <x v="0"/>
    <x v="3"/>
    <x v="11"/>
    <x v="9"/>
    <x v="19"/>
    <x v="76"/>
    <x v="711"/>
    <x v="5"/>
    <n v="18900"/>
  </r>
  <r>
    <x v="0"/>
    <x v="3"/>
    <x v="11"/>
    <x v="2"/>
    <x v="20"/>
    <x v="0"/>
    <x v="391"/>
    <x v="5"/>
    <n v="750"/>
  </r>
  <r>
    <x v="0"/>
    <x v="3"/>
    <x v="11"/>
    <x v="0"/>
    <x v="20"/>
    <x v="5"/>
    <x v="446"/>
    <x v="5"/>
    <n v="19500"/>
  </r>
  <r>
    <x v="0"/>
    <x v="3"/>
    <x v="11"/>
    <x v="3"/>
    <x v="20"/>
    <x v="54"/>
    <x v="712"/>
    <x v="5"/>
    <n v="10350"/>
  </r>
  <r>
    <x v="0"/>
    <x v="3"/>
    <x v="11"/>
    <x v="1"/>
    <x v="20"/>
    <x v="200"/>
    <x v="713"/>
    <x v="5"/>
    <n v="975"/>
  </r>
  <r>
    <x v="0"/>
    <x v="3"/>
    <x v="11"/>
    <x v="7"/>
    <x v="20"/>
    <x v="48"/>
    <x v="714"/>
    <x v="5"/>
    <n v="1875"/>
  </r>
  <r>
    <x v="0"/>
    <x v="3"/>
    <x v="11"/>
    <x v="8"/>
    <x v="20"/>
    <x v="132"/>
    <x v="447"/>
    <x v="5"/>
    <n v="10125"/>
  </r>
  <r>
    <x v="0"/>
    <x v="3"/>
    <x v="11"/>
    <x v="9"/>
    <x v="20"/>
    <x v="20"/>
    <x v="555"/>
    <x v="5"/>
    <n v="3375"/>
  </r>
  <r>
    <x v="0"/>
    <x v="3"/>
    <x v="11"/>
    <x v="1"/>
    <x v="22"/>
    <x v="60"/>
    <x v="715"/>
    <x v="5"/>
    <n v="902"/>
  </r>
  <r>
    <x v="0"/>
    <x v="3"/>
    <x v="11"/>
    <x v="7"/>
    <x v="22"/>
    <x v="59"/>
    <x v="146"/>
    <x v="5"/>
    <n v="164"/>
  </r>
  <r>
    <x v="0"/>
    <x v="3"/>
    <x v="11"/>
    <x v="8"/>
    <x v="22"/>
    <x v="139"/>
    <x v="716"/>
    <x v="5"/>
    <n v="3034"/>
  </r>
  <r>
    <x v="0"/>
    <x v="3"/>
    <x v="11"/>
    <x v="2"/>
    <x v="23"/>
    <x v="56"/>
    <x v="668"/>
    <x v="5"/>
    <n v="5610"/>
  </r>
  <r>
    <x v="0"/>
    <x v="3"/>
    <x v="11"/>
    <x v="3"/>
    <x v="23"/>
    <x v="135"/>
    <x v="717"/>
    <x v="5"/>
    <n v="1955"/>
  </r>
  <r>
    <x v="0"/>
    <x v="3"/>
    <x v="11"/>
    <x v="1"/>
    <x v="23"/>
    <x v="59"/>
    <x v="718"/>
    <x v="5"/>
    <n v="170"/>
  </r>
  <r>
    <x v="0"/>
    <x v="3"/>
    <x v="11"/>
    <x v="0"/>
    <x v="24"/>
    <x v="199"/>
    <x v="719"/>
    <x v="5"/>
    <n v="344"/>
  </r>
  <r>
    <x v="0"/>
    <x v="3"/>
    <x v="11"/>
    <x v="7"/>
    <x v="24"/>
    <x v="16"/>
    <x v="720"/>
    <x v="5"/>
    <n v="6020"/>
  </r>
  <r>
    <x v="0"/>
    <x v="3"/>
    <x v="11"/>
    <x v="0"/>
    <x v="25"/>
    <x v="38"/>
    <x v="304"/>
    <x v="5"/>
    <n v="490"/>
  </r>
  <r>
    <x v="0"/>
    <x v="3"/>
    <x v="11"/>
    <x v="7"/>
    <x v="25"/>
    <x v="143"/>
    <x v="215"/>
    <x v="5"/>
    <n v="294"/>
  </r>
  <r>
    <x v="0"/>
    <x v="3"/>
    <x v="11"/>
    <x v="1"/>
    <x v="26"/>
    <x v="170"/>
    <x v="279"/>
    <x v="5"/>
    <n v="10"/>
  </r>
  <r>
    <x v="1"/>
    <x v="4"/>
    <x v="12"/>
    <x v="0"/>
    <x v="0"/>
    <x v="45"/>
    <x v="609"/>
    <x v="0"/>
    <n v="18.5"/>
  </r>
  <r>
    <x v="1"/>
    <x v="4"/>
    <x v="12"/>
    <x v="1"/>
    <x v="0"/>
    <x v="7"/>
    <x v="721"/>
    <x v="0"/>
    <n v="370"/>
  </r>
  <r>
    <x v="1"/>
    <x v="4"/>
    <x v="12"/>
    <x v="0"/>
    <x v="2"/>
    <x v="143"/>
    <x v="610"/>
    <x v="0"/>
    <n v="64.5"/>
  </r>
  <r>
    <x v="1"/>
    <x v="4"/>
    <x v="12"/>
    <x v="3"/>
    <x v="2"/>
    <x v="168"/>
    <x v="338"/>
    <x v="0"/>
    <n v="129"/>
  </r>
  <r>
    <x v="1"/>
    <x v="4"/>
    <x v="12"/>
    <x v="2"/>
    <x v="3"/>
    <x v="137"/>
    <x v="722"/>
    <x v="0"/>
    <n v="928.80000000000007"/>
  </r>
  <r>
    <x v="1"/>
    <x v="4"/>
    <x v="12"/>
    <x v="0"/>
    <x v="4"/>
    <x v="94"/>
    <x v="723"/>
    <x v="0"/>
    <n v="1888"/>
  </r>
  <r>
    <x v="1"/>
    <x v="4"/>
    <x v="12"/>
    <x v="4"/>
    <x v="4"/>
    <x v="159"/>
    <x v="724"/>
    <x v="0"/>
    <n v="7080"/>
  </r>
  <r>
    <x v="1"/>
    <x v="4"/>
    <x v="12"/>
    <x v="1"/>
    <x v="4"/>
    <x v="347"/>
    <x v="725"/>
    <x v="0"/>
    <n v="14537.6"/>
  </r>
  <r>
    <x v="1"/>
    <x v="4"/>
    <x v="12"/>
    <x v="0"/>
    <x v="6"/>
    <x v="102"/>
    <x v="726"/>
    <x v="0"/>
    <n v="1820"/>
  </r>
  <r>
    <x v="1"/>
    <x v="4"/>
    <x v="12"/>
    <x v="2"/>
    <x v="7"/>
    <x v="102"/>
    <x v="727"/>
    <x v="0"/>
    <n v="2080"/>
  </r>
  <r>
    <x v="1"/>
    <x v="4"/>
    <x v="12"/>
    <x v="0"/>
    <x v="7"/>
    <x v="189"/>
    <x v="407"/>
    <x v="0"/>
    <n v="35200"/>
  </r>
  <r>
    <x v="1"/>
    <x v="4"/>
    <x v="12"/>
    <x v="6"/>
    <x v="7"/>
    <x v="146"/>
    <x v="224"/>
    <x v="0"/>
    <n v="7040"/>
  </r>
  <r>
    <x v="1"/>
    <x v="4"/>
    <x v="12"/>
    <x v="3"/>
    <x v="7"/>
    <x v="348"/>
    <x v="728"/>
    <x v="0"/>
    <n v="39584"/>
  </r>
  <r>
    <x v="1"/>
    <x v="4"/>
    <x v="12"/>
    <x v="4"/>
    <x v="7"/>
    <x v="253"/>
    <x v="617"/>
    <x v="0"/>
    <n v="40000"/>
  </r>
  <r>
    <x v="1"/>
    <x v="4"/>
    <x v="12"/>
    <x v="1"/>
    <x v="7"/>
    <x v="349"/>
    <x v="729"/>
    <x v="0"/>
    <n v="22976"/>
  </r>
  <r>
    <x v="1"/>
    <x v="4"/>
    <x v="12"/>
    <x v="7"/>
    <x v="7"/>
    <x v="204"/>
    <x v="730"/>
    <x v="0"/>
    <n v="8800"/>
  </r>
  <r>
    <x v="1"/>
    <x v="4"/>
    <x v="12"/>
    <x v="8"/>
    <x v="7"/>
    <x v="0"/>
    <x v="731"/>
    <x v="0"/>
    <n v="320"/>
  </r>
  <r>
    <x v="1"/>
    <x v="4"/>
    <x v="12"/>
    <x v="9"/>
    <x v="7"/>
    <x v="8"/>
    <x v="10"/>
    <x v="0"/>
    <n v="3200"/>
  </r>
  <r>
    <x v="1"/>
    <x v="4"/>
    <x v="12"/>
    <x v="5"/>
    <x v="8"/>
    <x v="72"/>
    <x v="519"/>
    <x v="1"/>
    <n v="15600"/>
  </r>
  <r>
    <x v="1"/>
    <x v="4"/>
    <x v="12"/>
    <x v="1"/>
    <x v="9"/>
    <x v="350"/>
    <x v="732"/>
    <x v="2"/>
    <n v="43680"/>
  </r>
  <r>
    <x v="1"/>
    <x v="4"/>
    <x v="12"/>
    <x v="9"/>
    <x v="27"/>
    <x v="261"/>
    <x v="733"/>
    <x v="2"/>
    <n v="27090"/>
  </r>
  <r>
    <x v="1"/>
    <x v="4"/>
    <x v="12"/>
    <x v="2"/>
    <x v="11"/>
    <x v="351"/>
    <x v="734"/>
    <x v="2"/>
    <n v="25198"/>
  </r>
  <r>
    <x v="1"/>
    <x v="4"/>
    <x v="12"/>
    <x v="0"/>
    <x v="11"/>
    <x v="352"/>
    <x v="735"/>
    <x v="2"/>
    <n v="67510"/>
  </r>
  <r>
    <x v="1"/>
    <x v="4"/>
    <x v="12"/>
    <x v="3"/>
    <x v="11"/>
    <x v="5"/>
    <x v="455"/>
    <x v="2"/>
    <n v="11180"/>
  </r>
  <r>
    <x v="1"/>
    <x v="4"/>
    <x v="12"/>
    <x v="4"/>
    <x v="11"/>
    <x v="353"/>
    <x v="736"/>
    <x v="2"/>
    <n v="42140"/>
  </r>
  <r>
    <x v="1"/>
    <x v="4"/>
    <x v="12"/>
    <x v="1"/>
    <x v="11"/>
    <x v="354"/>
    <x v="737"/>
    <x v="2"/>
    <n v="9417"/>
  </r>
  <r>
    <x v="1"/>
    <x v="4"/>
    <x v="12"/>
    <x v="7"/>
    <x v="11"/>
    <x v="355"/>
    <x v="738"/>
    <x v="2"/>
    <n v="19264"/>
  </r>
  <r>
    <x v="1"/>
    <x v="4"/>
    <x v="12"/>
    <x v="9"/>
    <x v="12"/>
    <x v="59"/>
    <x v="739"/>
    <x v="3"/>
    <n v="90"/>
  </r>
  <r>
    <x v="1"/>
    <x v="4"/>
    <x v="12"/>
    <x v="3"/>
    <x v="13"/>
    <x v="45"/>
    <x v="635"/>
    <x v="3"/>
    <n v="49"/>
  </r>
  <r>
    <x v="1"/>
    <x v="4"/>
    <x v="12"/>
    <x v="7"/>
    <x v="13"/>
    <x v="356"/>
    <x v="740"/>
    <x v="3"/>
    <n v="12152"/>
  </r>
  <r>
    <x v="1"/>
    <x v="4"/>
    <x v="12"/>
    <x v="2"/>
    <x v="14"/>
    <x v="357"/>
    <x v="741"/>
    <x v="3"/>
    <n v="14350"/>
  </r>
  <r>
    <x v="1"/>
    <x v="4"/>
    <x v="12"/>
    <x v="0"/>
    <x v="14"/>
    <x v="63"/>
    <x v="246"/>
    <x v="3"/>
    <n v="26500"/>
  </r>
  <r>
    <x v="1"/>
    <x v="4"/>
    <x v="12"/>
    <x v="6"/>
    <x v="14"/>
    <x v="194"/>
    <x v="369"/>
    <x v="3"/>
    <n v="37500"/>
  </r>
  <r>
    <x v="1"/>
    <x v="4"/>
    <x v="12"/>
    <x v="4"/>
    <x v="14"/>
    <x v="72"/>
    <x v="480"/>
    <x v="3"/>
    <n v="20000"/>
  </r>
  <r>
    <x v="1"/>
    <x v="4"/>
    <x v="12"/>
    <x v="1"/>
    <x v="14"/>
    <x v="358"/>
    <x v="742"/>
    <x v="3"/>
    <n v="30350"/>
  </r>
  <r>
    <x v="1"/>
    <x v="4"/>
    <x v="12"/>
    <x v="2"/>
    <x v="15"/>
    <x v="359"/>
    <x v="743"/>
    <x v="4"/>
    <n v="20240"/>
  </r>
  <r>
    <x v="1"/>
    <x v="4"/>
    <x v="12"/>
    <x v="0"/>
    <x v="15"/>
    <x v="97"/>
    <x v="188"/>
    <x v="4"/>
    <n v="34100"/>
  </r>
  <r>
    <x v="1"/>
    <x v="4"/>
    <x v="12"/>
    <x v="3"/>
    <x v="15"/>
    <x v="360"/>
    <x v="744"/>
    <x v="4"/>
    <n v="64185"/>
  </r>
  <r>
    <x v="1"/>
    <x v="4"/>
    <x v="12"/>
    <x v="4"/>
    <x v="15"/>
    <x v="81"/>
    <x v="745"/>
    <x v="4"/>
    <n v="11000"/>
  </r>
  <r>
    <x v="1"/>
    <x v="4"/>
    <x v="12"/>
    <x v="1"/>
    <x v="15"/>
    <x v="75"/>
    <x v="746"/>
    <x v="4"/>
    <n v="1155"/>
  </r>
  <r>
    <x v="1"/>
    <x v="4"/>
    <x v="12"/>
    <x v="7"/>
    <x v="15"/>
    <x v="217"/>
    <x v="747"/>
    <x v="4"/>
    <n v="28875"/>
  </r>
  <r>
    <x v="1"/>
    <x v="4"/>
    <x v="12"/>
    <x v="8"/>
    <x v="15"/>
    <x v="68"/>
    <x v="434"/>
    <x v="4"/>
    <n v="9900"/>
  </r>
  <r>
    <x v="1"/>
    <x v="4"/>
    <x v="12"/>
    <x v="0"/>
    <x v="16"/>
    <x v="32"/>
    <x v="748"/>
    <x v="4"/>
    <n v="8120"/>
  </r>
  <r>
    <x v="1"/>
    <x v="4"/>
    <x v="12"/>
    <x v="6"/>
    <x v="16"/>
    <x v="51"/>
    <x v="749"/>
    <x v="4"/>
    <n v="9860"/>
  </r>
  <r>
    <x v="1"/>
    <x v="4"/>
    <x v="12"/>
    <x v="4"/>
    <x v="16"/>
    <x v="3"/>
    <x v="48"/>
    <x v="4"/>
    <n v="2900"/>
  </r>
  <r>
    <x v="1"/>
    <x v="4"/>
    <x v="12"/>
    <x v="1"/>
    <x v="16"/>
    <x v="302"/>
    <x v="750"/>
    <x v="4"/>
    <n v="928"/>
  </r>
  <r>
    <x v="1"/>
    <x v="4"/>
    <x v="12"/>
    <x v="9"/>
    <x v="17"/>
    <x v="4"/>
    <x v="751"/>
    <x v="4"/>
    <n v="7800"/>
  </r>
  <r>
    <x v="1"/>
    <x v="4"/>
    <x v="12"/>
    <x v="2"/>
    <x v="18"/>
    <x v="36"/>
    <x v="491"/>
    <x v="5"/>
    <n v="12350"/>
  </r>
  <r>
    <x v="1"/>
    <x v="4"/>
    <x v="12"/>
    <x v="0"/>
    <x v="18"/>
    <x v="12"/>
    <x v="752"/>
    <x v="5"/>
    <n v="44200"/>
  </r>
  <r>
    <x v="1"/>
    <x v="4"/>
    <x v="12"/>
    <x v="3"/>
    <x v="18"/>
    <x v="93"/>
    <x v="753"/>
    <x v="5"/>
    <n v="33995"/>
  </r>
  <r>
    <x v="1"/>
    <x v="4"/>
    <x v="12"/>
    <x v="1"/>
    <x v="18"/>
    <x v="102"/>
    <x v="754"/>
    <x v="5"/>
    <n v="4225"/>
  </r>
  <r>
    <x v="1"/>
    <x v="4"/>
    <x v="12"/>
    <x v="7"/>
    <x v="18"/>
    <x v="4"/>
    <x v="755"/>
    <x v="5"/>
    <n v="8450"/>
  </r>
  <r>
    <x v="1"/>
    <x v="4"/>
    <x v="12"/>
    <x v="8"/>
    <x v="18"/>
    <x v="361"/>
    <x v="756"/>
    <x v="5"/>
    <n v="4745"/>
  </r>
  <r>
    <x v="1"/>
    <x v="4"/>
    <x v="12"/>
    <x v="9"/>
    <x v="18"/>
    <x v="86"/>
    <x v="757"/>
    <x v="5"/>
    <n v="20800"/>
  </r>
  <r>
    <x v="1"/>
    <x v="4"/>
    <x v="12"/>
    <x v="0"/>
    <x v="19"/>
    <x v="58"/>
    <x v="386"/>
    <x v="5"/>
    <n v="2800"/>
  </r>
  <r>
    <x v="1"/>
    <x v="4"/>
    <x v="12"/>
    <x v="6"/>
    <x v="19"/>
    <x v="16"/>
    <x v="60"/>
    <x v="5"/>
    <n v="4900"/>
  </r>
  <r>
    <x v="1"/>
    <x v="4"/>
    <x v="12"/>
    <x v="9"/>
    <x v="19"/>
    <x v="281"/>
    <x v="758"/>
    <x v="5"/>
    <n v="12950"/>
  </r>
  <r>
    <x v="1"/>
    <x v="4"/>
    <x v="12"/>
    <x v="2"/>
    <x v="20"/>
    <x v="57"/>
    <x v="65"/>
    <x v="5"/>
    <n v="675"/>
  </r>
  <r>
    <x v="1"/>
    <x v="4"/>
    <x v="12"/>
    <x v="0"/>
    <x v="20"/>
    <x v="125"/>
    <x v="759"/>
    <x v="5"/>
    <n v="21750"/>
  </r>
  <r>
    <x v="1"/>
    <x v="4"/>
    <x v="12"/>
    <x v="3"/>
    <x v="20"/>
    <x v="362"/>
    <x v="760"/>
    <x v="5"/>
    <n v="13275"/>
  </r>
  <r>
    <x v="1"/>
    <x v="4"/>
    <x v="12"/>
    <x v="1"/>
    <x v="20"/>
    <x v="75"/>
    <x v="761"/>
    <x v="5"/>
    <n v="1575"/>
  </r>
  <r>
    <x v="1"/>
    <x v="4"/>
    <x v="12"/>
    <x v="7"/>
    <x v="20"/>
    <x v="50"/>
    <x v="762"/>
    <x v="5"/>
    <n v="2400"/>
  </r>
  <r>
    <x v="1"/>
    <x v="4"/>
    <x v="12"/>
    <x v="8"/>
    <x v="20"/>
    <x v="363"/>
    <x v="763"/>
    <x v="5"/>
    <n v="6900"/>
  </r>
  <r>
    <x v="1"/>
    <x v="4"/>
    <x v="12"/>
    <x v="9"/>
    <x v="20"/>
    <x v="58"/>
    <x v="66"/>
    <x v="5"/>
    <n v="3000"/>
  </r>
  <r>
    <x v="1"/>
    <x v="4"/>
    <x v="12"/>
    <x v="1"/>
    <x v="22"/>
    <x v="38"/>
    <x v="764"/>
    <x v="5"/>
    <n v="410"/>
  </r>
  <r>
    <x v="1"/>
    <x v="4"/>
    <x v="12"/>
    <x v="7"/>
    <x v="22"/>
    <x v="143"/>
    <x v="605"/>
    <x v="5"/>
    <n v="246"/>
  </r>
  <r>
    <x v="1"/>
    <x v="4"/>
    <x v="12"/>
    <x v="8"/>
    <x v="22"/>
    <x v="58"/>
    <x v="395"/>
    <x v="5"/>
    <n v="3280"/>
  </r>
  <r>
    <x v="1"/>
    <x v="4"/>
    <x v="12"/>
    <x v="2"/>
    <x v="23"/>
    <x v="102"/>
    <x v="765"/>
    <x v="5"/>
    <n v="5525"/>
  </r>
  <r>
    <x v="1"/>
    <x v="4"/>
    <x v="12"/>
    <x v="3"/>
    <x v="23"/>
    <x v="364"/>
    <x v="766"/>
    <x v="5"/>
    <n v="2635"/>
  </r>
  <r>
    <x v="1"/>
    <x v="4"/>
    <x v="12"/>
    <x v="1"/>
    <x v="23"/>
    <x v="199"/>
    <x v="767"/>
    <x v="5"/>
    <n v="340"/>
  </r>
  <r>
    <x v="1"/>
    <x v="4"/>
    <x v="12"/>
    <x v="0"/>
    <x v="24"/>
    <x v="143"/>
    <x v="669"/>
    <x v="5"/>
    <n v="258"/>
  </r>
  <r>
    <x v="1"/>
    <x v="4"/>
    <x v="12"/>
    <x v="7"/>
    <x v="24"/>
    <x v="365"/>
    <x v="768"/>
    <x v="5"/>
    <n v="7482"/>
  </r>
  <r>
    <x v="1"/>
    <x v="4"/>
    <x v="12"/>
    <x v="0"/>
    <x v="25"/>
    <x v="2"/>
    <x v="769"/>
    <x v="5"/>
    <n v="784"/>
  </r>
  <r>
    <x v="1"/>
    <x v="4"/>
    <x v="12"/>
    <x v="7"/>
    <x v="25"/>
    <x v="59"/>
    <x v="76"/>
    <x v="5"/>
    <n v="196"/>
  </r>
  <r>
    <x v="1"/>
    <x v="4"/>
    <x v="13"/>
    <x v="0"/>
    <x v="0"/>
    <x v="45"/>
    <x v="609"/>
    <x v="0"/>
    <n v="18.5"/>
  </r>
  <r>
    <x v="1"/>
    <x v="4"/>
    <x v="13"/>
    <x v="1"/>
    <x v="0"/>
    <x v="57"/>
    <x v="400"/>
    <x v="0"/>
    <n v="166.5"/>
  </r>
  <r>
    <x v="1"/>
    <x v="4"/>
    <x v="13"/>
    <x v="0"/>
    <x v="2"/>
    <x v="143"/>
    <x v="610"/>
    <x v="0"/>
    <n v="64.5"/>
  </r>
  <r>
    <x v="1"/>
    <x v="4"/>
    <x v="13"/>
    <x v="2"/>
    <x v="3"/>
    <x v="108"/>
    <x v="770"/>
    <x v="0"/>
    <n v="626.40000000000009"/>
  </r>
  <r>
    <x v="1"/>
    <x v="4"/>
    <x v="13"/>
    <x v="0"/>
    <x v="4"/>
    <x v="29"/>
    <x v="771"/>
    <x v="0"/>
    <n v="708"/>
  </r>
  <r>
    <x v="1"/>
    <x v="4"/>
    <x v="13"/>
    <x v="4"/>
    <x v="4"/>
    <x v="5"/>
    <x v="6"/>
    <x v="0"/>
    <n v="6136"/>
  </r>
  <r>
    <x v="1"/>
    <x v="4"/>
    <x v="13"/>
    <x v="1"/>
    <x v="4"/>
    <x v="366"/>
    <x v="772"/>
    <x v="0"/>
    <n v="10360.400000000001"/>
  </r>
  <r>
    <x v="1"/>
    <x v="4"/>
    <x v="13"/>
    <x v="0"/>
    <x v="6"/>
    <x v="58"/>
    <x v="677"/>
    <x v="0"/>
    <n v="1120"/>
  </r>
  <r>
    <x v="1"/>
    <x v="4"/>
    <x v="13"/>
    <x v="2"/>
    <x v="7"/>
    <x v="367"/>
    <x v="773"/>
    <x v="0"/>
    <n v="3552"/>
  </r>
  <r>
    <x v="1"/>
    <x v="4"/>
    <x v="13"/>
    <x v="0"/>
    <x v="7"/>
    <x v="232"/>
    <x v="774"/>
    <x v="0"/>
    <n v="41600"/>
  </r>
  <r>
    <x v="1"/>
    <x v="4"/>
    <x v="13"/>
    <x v="6"/>
    <x v="7"/>
    <x v="184"/>
    <x v="775"/>
    <x v="0"/>
    <n v="7200"/>
  </r>
  <r>
    <x v="1"/>
    <x v="4"/>
    <x v="13"/>
    <x v="3"/>
    <x v="7"/>
    <x v="368"/>
    <x v="776"/>
    <x v="0"/>
    <n v="36128"/>
  </r>
  <r>
    <x v="1"/>
    <x v="4"/>
    <x v="13"/>
    <x v="4"/>
    <x v="7"/>
    <x v="369"/>
    <x v="777"/>
    <x v="0"/>
    <n v="43200"/>
  </r>
  <r>
    <x v="1"/>
    <x v="4"/>
    <x v="13"/>
    <x v="1"/>
    <x v="7"/>
    <x v="370"/>
    <x v="778"/>
    <x v="0"/>
    <n v="23808"/>
  </r>
  <r>
    <x v="1"/>
    <x v="4"/>
    <x v="13"/>
    <x v="7"/>
    <x v="7"/>
    <x v="159"/>
    <x v="463"/>
    <x v="0"/>
    <n v="9600"/>
  </r>
  <r>
    <x v="1"/>
    <x v="4"/>
    <x v="13"/>
    <x v="9"/>
    <x v="7"/>
    <x v="41"/>
    <x v="779"/>
    <x v="0"/>
    <n v="3520"/>
  </r>
  <r>
    <x v="1"/>
    <x v="4"/>
    <x v="13"/>
    <x v="5"/>
    <x v="8"/>
    <x v="88"/>
    <x v="780"/>
    <x v="1"/>
    <n v="14040"/>
  </r>
  <r>
    <x v="1"/>
    <x v="4"/>
    <x v="13"/>
    <x v="1"/>
    <x v="9"/>
    <x v="371"/>
    <x v="781"/>
    <x v="2"/>
    <n v="39840"/>
  </r>
  <r>
    <x v="1"/>
    <x v="4"/>
    <x v="13"/>
    <x v="9"/>
    <x v="9"/>
    <x v="60"/>
    <x v="782"/>
    <x v="2"/>
    <n v="440"/>
  </r>
  <r>
    <x v="1"/>
    <x v="4"/>
    <x v="13"/>
    <x v="9"/>
    <x v="27"/>
    <x v="52"/>
    <x v="783"/>
    <x v="2"/>
    <n v="16590"/>
  </r>
  <r>
    <x v="1"/>
    <x v="4"/>
    <x v="13"/>
    <x v="2"/>
    <x v="11"/>
    <x v="47"/>
    <x v="172"/>
    <x v="2"/>
    <n v="25800"/>
  </r>
  <r>
    <x v="1"/>
    <x v="4"/>
    <x v="13"/>
    <x v="0"/>
    <x v="11"/>
    <x v="372"/>
    <x v="784"/>
    <x v="2"/>
    <n v="61060"/>
  </r>
  <r>
    <x v="1"/>
    <x v="4"/>
    <x v="13"/>
    <x v="3"/>
    <x v="11"/>
    <x v="373"/>
    <x v="785"/>
    <x v="2"/>
    <n v="8944"/>
  </r>
  <r>
    <x v="1"/>
    <x v="4"/>
    <x v="13"/>
    <x v="4"/>
    <x v="11"/>
    <x v="374"/>
    <x v="786"/>
    <x v="2"/>
    <n v="32895"/>
  </r>
  <r>
    <x v="1"/>
    <x v="4"/>
    <x v="13"/>
    <x v="1"/>
    <x v="11"/>
    <x v="281"/>
    <x v="787"/>
    <x v="2"/>
    <n v="7955"/>
  </r>
  <r>
    <x v="1"/>
    <x v="4"/>
    <x v="13"/>
    <x v="7"/>
    <x v="11"/>
    <x v="375"/>
    <x v="788"/>
    <x v="2"/>
    <n v="16555"/>
  </r>
  <r>
    <x v="1"/>
    <x v="4"/>
    <x v="13"/>
    <x v="7"/>
    <x v="13"/>
    <x v="10"/>
    <x v="789"/>
    <x v="3"/>
    <n v="11270"/>
  </r>
  <r>
    <x v="1"/>
    <x v="4"/>
    <x v="13"/>
    <x v="2"/>
    <x v="14"/>
    <x v="376"/>
    <x v="790"/>
    <x v="3"/>
    <n v="12350"/>
  </r>
  <r>
    <x v="1"/>
    <x v="4"/>
    <x v="13"/>
    <x v="0"/>
    <x v="14"/>
    <x v="92"/>
    <x v="639"/>
    <x v="3"/>
    <n v="22500"/>
  </r>
  <r>
    <x v="1"/>
    <x v="4"/>
    <x v="13"/>
    <x v="6"/>
    <x v="14"/>
    <x v="12"/>
    <x v="530"/>
    <x v="3"/>
    <n v="34000"/>
  </r>
  <r>
    <x v="1"/>
    <x v="4"/>
    <x v="13"/>
    <x v="4"/>
    <x v="14"/>
    <x v="160"/>
    <x v="247"/>
    <x v="3"/>
    <n v="15500"/>
  </r>
  <r>
    <x v="1"/>
    <x v="4"/>
    <x v="13"/>
    <x v="1"/>
    <x v="14"/>
    <x v="256"/>
    <x v="478"/>
    <x v="3"/>
    <n v="27250"/>
  </r>
  <r>
    <x v="1"/>
    <x v="4"/>
    <x v="13"/>
    <x v="2"/>
    <x v="15"/>
    <x v="377"/>
    <x v="791"/>
    <x v="4"/>
    <n v="16005"/>
  </r>
  <r>
    <x v="1"/>
    <x v="4"/>
    <x v="13"/>
    <x v="0"/>
    <x v="15"/>
    <x v="12"/>
    <x v="792"/>
    <x v="4"/>
    <n v="37400"/>
  </r>
  <r>
    <x v="1"/>
    <x v="4"/>
    <x v="13"/>
    <x v="3"/>
    <x v="15"/>
    <x v="378"/>
    <x v="793"/>
    <x v="4"/>
    <n v="58300"/>
  </r>
  <r>
    <x v="1"/>
    <x v="4"/>
    <x v="13"/>
    <x v="4"/>
    <x v="15"/>
    <x v="268"/>
    <x v="794"/>
    <x v="4"/>
    <n v="11825"/>
  </r>
  <r>
    <x v="1"/>
    <x v="4"/>
    <x v="13"/>
    <x v="1"/>
    <x v="15"/>
    <x v="48"/>
    <x v="253"/>
    <x v="4"/>
    <n v="1375"/>
  </r>
  <r>
    <x v="1"/>
    <x v="4"/>
    <x v="13"/>
    <x v="7"/>
    <x v="15"/>
    <x v="27"/>
    <x v="589"/>
    <x v="4"/>
    <n v="35200"/>
  </r>
  <r>
    <x v="1"/>
    <x v="4"/>
    <x v="13"/>
    <x v="8"/>
    <x v="15"/>
    <x v="19"/>
    <x v="795"/>
    <x v="4"/>
    <n v="7975"/>
  </r>
  <r>
    <x v="1"/>
    <x v="4"/>
    <x v="13"/>
    <x v="0"/>
    <x v="16"/>
    <x v="68"/>
    <x v="488"/>
    <x v="4"/>
    <n v="10440"/>
  </r>
  <r>
    <x v="1"/>
    <x v="4"/>
    <x v="13"/>
    <x v="6"/>
    <x v="16"/>
    <x v="81"/>
    <x v="378"/>
    <x v="4"/>
    <n v="11600"/>
  </r>
  <r>
    <x v="1"/>
    <x v="4"/>
    <x v="13"/>
    <x v="4"/>
    <x v="16"/>
    <x v="3"/>
    <x v="48"/>
    <x v="4"/>
    <n v="2900"/>
  </r>
  <r>
    <x v="1"/>
    <x v="4"/>
    <x v="13"/>
    <x v="1"/>
    <x v="16"/>
    <x v="105"/>
    <x v="796"/>
    <x v="4"/>
    <n v="406"/>
  </r>
  <r>
    <x v="1"/>
    <x v="4"/>
    <x v="13"/>
    <x v="9"/>
    <x v="17"/>
    <x v="379"/>
    <x v="797"/>
    <x v="4"/>
    <n v="6960"/>
  </r>
  <r>
    <x v="1"/>
    <x v="4"/>
    <x v="13"/>
    <x v="2"/>
    <x v="18"/>
    <x v="380"/>
    <x v="798"/>
    <x v="5"/>
    <n v="9685"/>
  </r>
  <r>
    <x v="1"/>
    <x v="4"/>
    <x v="13"/>
    <x v="0"/>
    <x v="18"/>
    <x v="47"/>
    <x v="53"/>
    <x v="5"/>
    <n v="39000"/>
  </r>
  <r>
    <x v="1"/>
    <x v="4"/>
    <x v="13"/>
    <x v="3"/>
    <x v="18"/>
    <x v="381"/>
    <x v="799"/>
    <x v="5"/>
    <n v="37375"/>
  </r>
  <r>
    <x v="1"/>
    <x v="4"/>
    <x v="13"/>
    <x v="1"/>
    <x v="18"/>
    <x v="382"/>
    <x v="800"/>
    <x v="5"/>
    <n v="3315"/>
  </r>
  <r>
    <x v="1"/>
    <x v="4"/>
    <x v="13"/>
    <x v="7"/>
    <x v="18"/>
    <x v="4"/>
    <x v="755"/>
    <x v="5"/>
    <n v="8450"/>
  </r>
  <r>
    <x v="1"/>
    <x v="4"/>
    <x v="13"/>
    <x v="8"/>
    <x v="18"/>
    <x v="132"/>
    <x v="801"/>
    <x v="5"/>
    <n v="8775"/>
  </r>
  <r>
    <x v="1"/>
    <x v="4"/>
    <x v="13"/>
    <x v="9"/>
    <x v="18"/>
    <x v="25"/>
    <x v="493"/>
    <x v="5"/>
    <n v="27300"/>
  </r>
  <r>
    <x v="1"/>
    <x v="4"/>
    <x v="13"/>
    <x v="0"/>
    <x v="19"/>
    <x v="3"/>
    <x v="268"/>
    <x v="5"/>
    <n v="3500"/>
  </r>
  <r>
    <x v="1"/>
    <x v="4"/>
    <x v="13"/>
    <x v="6"/>
    <x v="19"/>
    <x v="74"/>
    <x v="204"/>
    <x v="5"/>
    <n v="4200"/>
  </r>
  <r>
    <x v="1"/>
    <x v="4"/>
    <x v="13"/>
    <x v="9"/>
    <x v="19"/>
    <x v="5"/>
    <x v="550"/>
    <x v="5"/>
    <n v="18200"/>
  </r>
  <r>
    <x v="1"/>
    <x v="4"/>
    <x v="13"/>
    <x v="2"/>
    <x v="20"/>
    <x v="105"/>
    <x v="141"/>
    <x v="5"/>
    <n v="525"/>
  </r>
  <r>
    <x v="1"/>
    <x v="4"/>
    <x v="13"/>
    <x v="0"/>
    <x v="20"/>
    <x v="76"/>
    <x v="802"/>
    <x v="5"/>
    <n v="20250"/>
  </r>
  <r>
    <x v="1"/>
    <x v="4"/>
    <x v="13"/>
    <x v="3"/>
    <x v="20"/>
    <x v="383"/>
    <x v="803"/>
    <x v="5"/>
    <n v="8100"/>
  </r>
  <r>
    <x v="1"/>
    <x v="4"/>
    <x v="13"/>
    <x v="1"/>
    <x v="20"/>
    <x v="57"/>
    <x v="65"/>
    <x v="5"/>
    <n v="675"/>
  </r>
  <r>
    <x v="1"/>
    <x v="4"/>
    <x v="13"/>
    <x v="7"/>
    <x v="20"/>
    <x v="200"/>
    <x v="713"/>
    <x v="5"/>
    <n v="975"/>
  </r>
  <r>
    <x v="1"/>
    <x v="4"/>
    <x v="13"/>
    <x v="8"/>
    <x v="20"/>
    <x v="245"/>
    <x v="448"/>
    <x v="5"/>
    <n v="4275"/>
  </r>
  <r>
    <x v="1"/>
    <x v="4"/>
    <x v="13"/>
    <x v="9"/>
    <x v="20"/>
    <x v="3"/>
    <x v="273"/>
    <x v="5"/>
    <n v="3750"/>
  </r>
  <r>
    <x v="1"/>
    <x v="4"/>
    <x v="13"/>
    <x v="1"/>
    <x v="22"/>
    <x v="129"/>
    <x v="604"/>
    <x v="5"/>
    <n v="984"/>
  </r>
  <r>
    <x v="1"/>
    <x v="4"/>
    <x v="13"/>
    <x v="7"/>
    <x v="22"/>
    <x v="143"/>
    <x v="605"/>
    <x v="5"/>
    <n v="246"/>
  </r>
  <r>
    <x v="1"/>
    <x v="4"/>
    <x v="13"/>
    <x v="8"/>
    <x v="22"/>
    <x v="26"/>
    <x v="804"/>
    <x v="5"/>
    <n v="7790"/>
  </r>
  <r>
    <x v="1"/>
    <x v="4"/>
    <x v="13"/>
    <x v="2"/>
    <x v="23"/>
    <x v="384"/>
    <x v="805"/>
    <x v="5"/>
    <n v="6035"/>
  </r>
  <r>
    <x v="1"/>
    <x v="4"/>
    <x v="13"/>
    <x v="3"/>
    <x v="23"/>
    <x v="169"/>
    <x v="505"/>
    <x v="5"/>
    <n v="2380"/>
  </r>
  <r>
    <x v="1"/>
    <x v="4"/>
    <x v="13"/>
    <x v="1"/>
    <x v="23"/>
    <x v="168"/>
    <x v="806"/>
    <x v="5"/>
    <n v="510"/>
  </r>
  <r>
    <x v="1"/>
    <x v="4"/>
    <x v="13"/>
    <x v="0"/>
    <x v="24"/>
    <x v="168"/>
    <x v="807"/>
    <x v="5"/>
    <n v="516"/>
  </r>
  <r>
    <x v="1"/>
    <x v="4"/>
    <x v="13"/>
    <x v="7"/>
    <x v="24"/>
    <x v="17"/>
    <x v="808"/>
    <x v="5"/>
    <n v="4558"/>
  </r>
  <r>
    <x v="1"/>
    <x v="4"/>
    <x v="13"/>
    <x v="0"/>
    <x v="25"/>
    <x v="168"/>
    <x v="671"/>
    <x v="5"/>
    <n v="588"/>
  </r>
  <r>
    <x v="1"/>
    <x v="4"/>
    <x v="13"/>
    <x v="7"/>
    <x v="25"/>
    <x v="45"/>
    <x v="335"/>
    <x v="5"/>
    <n v="98"/>
  </r>
  <r>
    <x v="1"/>
    <x v="4"/>
    <x v="14"/>
    <x v="0"/>
    <x v="0"/>
    <x v="105"/>
    <x v="809"/>
    <x v="0"/>
    <n v="129.5"/>
  </r>
  <r>
    <x v="1"/>
    <x v="4"/>
    <x v="14"/>
    <x v="1"/>
    <x v="0"/>
    <x v="223"/>
    <x v="508"/>
    <x v="0"/>
    <n v="314.5"/>
  </r>
  <r>
    <x v="1"/>
    <x v="4"/>
    <x v="14"/>
    <x v="0"/>
    <x v="2"/>
    <x v="2"/>
    <x v="456"/>
    <x v="0"/>
    <n v="172"/>
  </r>
  <r>
    <x v="1"/>
    <x v="4"/>
    <x v="14"/>
    <x v="2"/>
    <x v="3"/>
    <x v="58"/>
    <x v="810"/>
    <x v="0"/>
    <n v="864"/>
  </r>
  <r>
    <x v="1"/>
    <x v="4"/>
    <x v="14"/>
    <x v="0"/>
    <x v="4"/>
    <x v="154"/>
    <x v="281"/>
    <x v="0"/>
    <n v="3776"/>
  </r>
  <r>
    <x v="1"/>
    <x v="4"/>
    <x v="14"/>
    <x v="4"/>
    <x v="4"/>
    <x v="185"/>
    <x v="674"/>
    <x v="0"/>
    <n v="8260"/>
  </r>
  <r>
    <x v="1"/>
    <x v="4"/>
    <x v="14"/>
    <x v="1"/>
    <x v="4"/>
    <x v="233"/>
    <x v="811"/>
    <x v="0"/>
    <n v="10030"/>
  </r>
  <r>
    <x v="1"/>
    <x v="4"/>
    <x v="14"/>
    <x v="0"/>
    <x v="6"/>
    <x v="58"/>
    <x v="677"/>
    <x v="0"/>
    <n v="1120"/>
  </r>
  <r>
    <x v="1"/>
    <x v="4"/>
    <x v="14"/>
    <x v="2"/>
    <x v="7"/>
    <x v="385"/>
    <x v="812"/>
    <x v="0"/>
    <n v="5216"/>
  </r>
  <r>
    <x v="1"/>
    <x v="4"/>
    <x v="14"/>
    <x v="0"/>
    <x v="7"/>
    <x v="9"/>
    <x v="11"/>
    <x v="0"/>
    <n v="39040"/>
  </r>
  <r>
    <x v="1"/>
    <x v="4"/>
    <x v="14"/>
    <x v="6"/>
    <x v="7"/>
    <x v="146"/>
    <x v="224"/>
    <x v="0"/>
    <n v="7040"/>
  </r>
  <r>
    <x v="1"/>
    <x v="4"/>
    <x v="14"/>
    <x v="3"/>
    <x v="7"/>
    <x v="386"/>
    <x v="813"/>
    <x v="0"/>
    <n v="39680"/>
  </r>
  <r>
    <x v="1"/>
    <x v="4"/>
    <x v="14"/>
    <x v="4"/>
    <x v="7"/>
    <x v="387"/>
    <x v="814"/>
    <x v="0"/>
    <n v="39936"/>
  </r>
  <r>
    <x v="1"/>
    <x v="4"/>
    <x v="14"/>
    <x v="1"/>
    <x v="7"/>
    <x v="388"/>
    <x v="815"/>
    <x v="0"/>
    <n v="27040"/>
  </r>
  <r>
    <x v="1"/>
    <x v="4"/>
    <x v="14"/>
    <x v="7"/>
    <x v="7"/>
    <x v="185"/>
    <x v="816"/>
    <x v="0"/>
    <n v="11200"/>
  </r>
  <r>
    <x v="1"/>
    <x v="4"/>
    <x v="14"/>
    <x v="8"/>
    <x v="7"/>
    <x v="389"/>
    <x v="817"/>
    <x v="0"/>
    <n v="7488"/>
  </r>
  <r>
    <x v="1"/>
    <x v="4"/>
    <x v="14"/>
    <x v="9"/>
    <x v="7"/>
    <x v="10"/>
    <x v="12"/>
    <x v="0"/>
    <n v="7360"/>
  </r>
  <r>
    <x v="1"/>
    <x v="4"/>
    <x v="14"/>
    <x v="5"/>
    <x v="8"/>
    <x v="88"/>
    <x v="780"/>
    <x v="1"/>
    <n v="14040"/>
  </r>
  <r>
    <x v="1"/>
    <x v="4"/>
    <x v="14"/>
    <x v="1"/>
    <x v="9"/>
    <x v="148"/>
    <x v="818"/>
    <x v="2"/>
    <n v="43600"/>
  </r>
  <r>
    <x v="1"/>
    <x v="4"/>
    <x v="14"/>
    <x v="9"/>
    <x v="27"/>
    <x v="214"/>
    <x v="819"/>
    <x v="2"/>
    <n v="18060"/>
  </r>
  <r>
    <x v="1"/>
    <x v="4"/>
    <x v="14"/>
    <x v="2"/>
    <x v="11"/>
    <x v="390"/>
    <x v="820"/>
    <x v="2"/>
    <n v="24166"/>
  </r>
  <r>
    <x v="1"/>
    <x v="4"/>
    <x v="14"/>
    <x v="0"/>
    <x v="11"/>
    <x v="391"/>
    <x v="821"/>
    <x v="2"/>
    <n v="65360"/>
  </r>
  <r>
    <x v="1"/>
    <x v="4"/>
    <x v="14"/>
    <x v="3"/>
    <x v="11"/>
    <x v="184"/>
    <x v="822"/>
    <x v="2"/>
    <n v="9675"/>
  </r>
  <r>
    <x v="1"/>
    <x v="4"/>
    <x v="14"/>
    <x v="4"/>
    <x v="11"/>
    <x v="225"/>
    <x v="823"/>
    <x v="2"/>
    <n v="43000"/>
  </r>
  <r>
    <x v="1"/>
    <x v="4"/>
    <x v="14"/>
    <x v="1"/>
    <x v="11"/>
    <x v="90"/>
    <x v="720"/>
    <x v="2"/>
    <n v="12040"/>
  </r>
  <r>
    <x v="1"/>
    <x v="4"/>
    <x v="14"/>
    <x v="7"/>
    <x v="11"/>
    <x v="392"/>
    <x v="824"/>
    <x v="2"/>
    <n v="18963"/>
  </r>
  <r>
    <x v="1"/>
    <x v="4"/>
    <x v="14"/>
    <x v="7"/>
    <x v="13"/>
    <x v="393"/>
    <x v="825"/>
    <x v="3"/>
    <n v="12691"/>
  </r>
  <r>
    <x v="1"/>
    <x v="4"/>
    <x v="14"/>
    <x v="2"/>
    <x v="14"/>
    <x v="394"/>
    <x v="826"/>
    <x v="3"/>
    <n v="12650"/>
  </r>
  <r>
    <x v="1"/>
    <x v="4"/>
    <x v="14"/>
    <x v="0"/>
    <x v="14"/>
    <x v="274"/>
    <x v="827"/>
    <x v="3"/>
    <n v="23500"/>
  </r>
  <r>
    <x v="1"/>
    <x v="4"/>
    <x v="14"/>
    <x v="6"/>
    <x v="14"/>
    <x v="395"/>
    <x v="828"/>
    <x v="3"/>
    <n v="37450"/>
  </r>
  <r>
    <x v="1"/>
    <x v="4"/>
    <x v="14"/>
    <x v="4"/>
    <x v="14"/>
    <x v="396"/>
    <x v="829"/>
    <x v="3"/>
    <n v="22600"/>
  </r>
  <r>
    <x v="1"/>
    <x v="4"/>
    <x v="14"/>
    <x v="1"/>
    <x v="14"/>
    <x v="397"/>
    <x v="830"/>
    <x v="3"/>
    <n v="31250"/>
  </r>
  <r>
    <x v="1"/>
    <x v="4"/>
    <x v="14"/>
    <x v="2"/>
    <x v="15"/>
    <x v="398"/>
    <x v="831"/>
    <x v="4"/>
    <n v="17545"/>
  </r>
  <r>
    <x v="1"/>
    <x v="4"/>
    <x v="14"/>
    <x v="0"/>
    <x v="15"/>
    <x v="73"/>
    <x v="832"/>
    <x v="4"/>
    <n v="38500"/>
  </r>
  <r>
    <x v="1"/>
    <x v="4"/>
    <x v="14"/>
    <x v="3"/>
    <x v="15"/>
    <x v="399"/>
    <x v="833"/>
    <x v="4"/>
    <n v="69850"/>
  </r>
  <r>
    <x v="1"/>
    <x v="4"/>
    <x v="14"/>
    <x v="4"/>
    <x v="15"/>
    <x v="400"/>
    <x v="834"/>
    <x v="4"/>
    <n v="20955"/>
  </r>
  <r>
    <x v="1"/>
    <x v="4"/>
    <x v="14"/>
    <x v="1"/>
    <x v="15"/>
    <x v="198"/>
    <x v="835"/>
    <x v="4"/>
    <n v="1210"/>
  </r>
  <r>
    <x v="1"/>
    <x v="4"/>
    <x v="14"/>
    <x v="7"/>
    <x v="15"/>
    <x v="401"/>
    <x v="836"/>
    <x v="4"/>
    <n v="40095"/>
  </r>
  <r>
    <x v="1"/>
    <x v="4"/>
    <x v="14"/>
    <x v="8"/>
    <x v="15"/>
    <x v="8"/>
    <x v="312"/>
    <x v="4"/>
    <n v="5500"/>
  </r>
  <r>
    <x v="1"/>
    <x v="4"/>
    <x v="14"/>
    <x v="0"/>
    <x v="16"/>
    <x v="68"/>
    <x v="488"/>
    <x v="4"/>
    <n v="10440"/>
  </r>
  <r>
    <x v="1"/>
    <x v="4"/>
    <x v="14"/>
    <x v="6"/>
    <x v="16"/>
    <x v="46"/>
    <x v="837"/>
    <x v="4"/>
    <n v="11658"/>
  </r>
  <r>
    <x v="1"/>
    <x v="4"/>
    <x v="14"/>
    <x v="4"/>
    <x v="16"/>
    <x v="58"/>
    <x v="257"/>
    <x v="4"/>
    <n v="2320"/>
  </r>
  <r>
    <x v="1"/>
    <x v="4"/>
    <x v="14"/>
    <x v="1"/>
    <x v="16"/>
    <x v="84"/>
    <x v="838"/>
    <x v="4"/>
    <n v="870"/>
  </r>
  <r>
    <x v="1"/>
    <x v="4"/>
    <x v="14"/>
    <x v="9"/>
    <x v="17"/>
    <x v="156"/>
    <x v="839"/>
    <x v="4"/>
    <n v="9840"/>
  </r>
  <r>
    <x v="1"/>
    <x v="4"/>
    <x v="14"/>
    <x v="2"/>
    <x v="18"/>
    <x v="140"/>
    <x v="546"/>
    <x v="5"/>
    <n v="10075"/>
  </r>
  <r>
    <x v="1"/>
    <x v="4"/>
    <x v="14"/>
    <x v="0"/>
    <x v="18"/>
    <x v="402"/>
    <x v="840"/>
    <x v="5"/>
    <n v="45175"/>
  </r>
  <r>
    <x v="1"/>
    <x v="4"/>
    <x v="14"/>
    <x v="3"/>
    <x v="18"/>
    <x v="403"/>
    <x v="841"/>
    <x v="5"/>
    <n v="39520"/>
  </r>
  <r>
    <x v="1"/>
    <x v="4"/>
    <x v="14"/>
    <x v="1"/>
    <x v="18"/>
    <x v="3"/>
    <x v="842"/>
    <x v="5"/>
    <n v="3250"/>
  </r>
  <r>
    <x v="1"/>
    <x v="4"/>
    <x v="14"/>
    <x v="7"/>
    <x v="18"/>
    <x v="404"/>
    <x v="843"/>
    <x v="5"/>
    <n v="9815"/>
  </r>
  <r>
    <x v="1"/>
    <x v="4"/>
    <x v="14"/>
    <x v="8"/>
    <x v="18"/>
    <x v="81"/>
    <x v="201"/>
    <x v="5"/>
    <n v="13000"/>
  </r>
  <r>
    <x v="1"/>
    <x v="4"/>
    <x v="14"/>
    <x v="9"/>
    <x v="18"/>
    <x v="405"/>
    <x v="844"/>
    <x v="5"/>
    <n v="25740"/>
  </r>
  <r>
    <x v="1"/>
    <x v="4"/>
    <x v="14"/>
    <x v="0"/>
    <x v="19"/>
    <x v="84"/>
    <x v="845"/>
    <x v="5"/>
    <n v="1050"/>
  </r>
  <r>
    <x v="1"/>
    <x v="4"/>
    <x v="14"/>
    <x v="6"/>
    <x v="19"/>
    <x v="56"/>
    <x v="846"/>
    <x v="5"/>
    <n v="4620"/>
  </r>
  <r>
    <x v="1"/>
    <x v="4"/>
    <x v="14"/>
    <x v="9"/>
    <x v="19"/>
    <x v="146"/>
    <x v="847"/>
    <x v="5"/>
    <n v="15400"/>
  </r>
  <r>
    <x v="1"/>
    <x v="4"/>
    <x v="14"/>
    <x v="2"/>
    <x v="20"/>
    <x v="199"/>
    <x v="848"/>
    <x v="5"/>
    <n v="300"/>
  </r>
  <r>
    <x v="1"/>
    <x v="4"/>
    <x v="14"/>
    <x v="0"/>
    <x v="20"/>
    <x v="159"/>
    <x v="849"/>
    <x v="5"/>
    <n v="22500"/>
  </r>
  <r>
    <x v="1"/>
    <x v="4"/>
    <x v="14"/>
    <x v="3"/>
    <x v="20"/>
    <x v="10"/>
    <x v="850"/>
    <x v="5"/>
    <n v="17250"/>
  </r>
  <r>
    <x v="1"/>
    <x v="4"/>
    <x v="14"/>
    <x v="1"/>
    <x v="20"/>
    <x v="84"/>
    <x v="603"/>
    <x v="5"/>
    <n v="1125"/>
  </r>
  <r>
    <x v="1"/>
    <x v="4"/>
    <x v="14"/>
    <x v="7"/>
    <x v="20"/>
    <x v="0"/>
    <x v="391"/>
    <x v="5"/>
    <n v="750"/>
  </r>
  <r>
    <x v="1"/>
    <x v="4"/>
    <x v="14"/>
    <x v="8"/>
    <x v="20"/>
    <x v="29"/>
    <x v="62"/>
    <x v="5"/>
    <n v="2250"/>
  </r>
  <r>
    <x v="1"/>
    <x v="4"/>
    <x v="14"/>
    <x v="9"/>
    <x v="20"/>
    <x v="16"/>
    <x v="210"/>
    <x v="5"/>
    <n v="5250"/>
  </r>
  <r>
    <x v="1"/>
    <x v="4"/>
    <x v="14"/>
    <x v="1"/>
    <x v="22"/>
    <x v="200"/>
    <x v="851"/>
    <x v="5"/>
    <n v="1066"/>
  </r>
  <r>
    <x v="1"/>
    <x v="4"/>
    <x v="14"/>
    <x v="7"/>
    <x v="22"/>
    <x v="199"/>
    <x v="329"/>
    <x v="5"/>
    <n v="328"/>
  </r>
  <r>
    <x v="1"/>
    <x v="4"/>
    <x v="14"/>
    <x v="8"/>
    <x v="22"/>
    <x v="406"/>
    <x v="852"/>
    <x v="5"/>
    <n v="15252"/>
  </r>
  <r>
    <x v="1"/>
    <x v="4"/>
    <x v="14"/>
    <x v="2"/>
    <x v="23"/>
    <x v="66"/>
    <x v="853"/>
    <x v="5"/>
    <n v="5780"/>
  </r>
  <r>
    <x v="1"/>
    <x v="4"/>
    <x v="14"/>
    <x v="3"/>
    <x v="23"/>
    <x v="135"/>
    <x v="717"/>
    <x v="5"/>
    <n v="1955"/>
  </r>
  <r>
    <x v="1"/>
    <x v="4"/>
    <x v="14"/>
    <x v="1"/>
    <x v="23"/>
    <x v="129"/>
    <x v="277"/>
    <x v="5"/>
    <n v="1020"/>
  </r>
  <r>
    <x v="1"/>
    <x v="4"/>
    <x v="14"/>
    <x v="0"/>
    <x v="24"/>
    <x v="168"/>
    <x v="807"/>
    <x v="5"/>
    <n v="516"/>
  </r>
  <r>
    <x v="1"/>
    <x v="4"/>
    <x v="14"/>
    <x v="7"/>
    <x v="24"/>
    <x v="74"/>
    <x v="688"/>
    <x v="5"/>
    <n v="5160"/>
  </r>
  <r>
    <x v="1"/>
    <x v="4"/>
    <x v="14"/>
    <x v="0"/>
    <x v="25"/>
    <x v="45"/>
    <x v="335"/>
    <x v="5"/>
    <n v="98"/>
  </r>
  <r>
    <x v="1"/>
    <x v="4"/>
    <x v="14"/>
    <x v="7"/>
    <x v="25"/>
    <x v="59"/>
    <x v="76"/>
    <x v="5"/>
    <n v="196"/>
  </r>
  <r>
    <x v="1"/>
    <x v="4"/>
    <x v="14"/>
    <x v="1"/>
    <x v="26"/>
    <x v="265"/>
    <x v="507"/>
    <x v="5"/>
    <n v="50"/>
  </r>
  <r>
    <x v="1"/>
    <x v="5"/>
    <x v="15"/>
    <x v="0"/>
    <x v="6"/>
    <x v="53"/>
    <x v="854"/>
    <x v="0"/>
    <n v="980"/>
  </r>
  <r>
    <x v="1"/>
    <x v="5"/>
    <x v="15"/>
    <x v="2"/>
    <x v="7"/>
    <x v="407"/>
    <x v="855"/>
    <x v="0"/>
    <n v="2816"/>
  </r>
  <r>
    <x v="1"/>
    <x v="5"/>
    <x v="15"/>
    <x v="0"/>
    <x v="7"/>
    <x v="408"/>
    <x v="856"/>
    <x v="0"/>
    <n v="46560"/>
  </r>
  <r>
    <x v="1"/>
    <x v="5"/>
    <x v="15"/>
    <x v="6"/>
    <x v="7"/>
    <x v="3"/>
    <x v="166"/>
    <x v="0"/>
    <n v="1600"/>
  </r>
  <r>
    <x v="1"/>
    <x v="5"/>
    <x v="15"/>
    <x v="3"/>
    <x v="7"/>
    <x v="208"/>
    <x v="349"/>
    <x v="0"/>
    <n v="33248"/>
  </r>
  <r>
    <x v="1"/>
    <x v="5"/>
    <x v="15"/>
    <x v="4"/>
    <x v="7"/>
    <x v="409"/>
    <x v="857"/>
    <x v="0"/>
    <n v="36480"/>
  </r>
  <r>
    <x v="1"/>
    <x v="5"/>
    <x v="15"/>
    <x v="1"/>
    <x v="7"/>
    <x v="410"/>
    <x v="858"/>
    <x v="0"/>
    <n v="21536"/>
  </r>
  <r>
    <x v="1"/>
    <x v="5"/>
    <x v="15"/>
    <x v="7"/>
    <x v="7"/>
    <x v="411"/>
    <x v="859"/>
    <x v="0"/>
    <n v="13504"/>
  </r>
  <r>
    <x v="1"/>
    <x v="5"/>
    <x v="15"/>
    <x v="8"/>
    <x v="7"/>
    <x v="88"/>
    <x v="860"/>
    <x v="0"/>
    <n v="11520"/>
  </r>
  <r>
    <x v="1"/>
    <x v="5"/>
    <x v="15"/>
    <x v="9"/>
    <x v="7"/>
    <x v="23"/>
    <x v="160"/>
    <x v="0"/>
    <n v="4800"/>
  </r>
  <r>
    <x v="1"/>
    <x v="5"/>
    <x v="15"/>
    <x v="5"/>
    <x v="8"/>
    <x v="412"/>
    <x v="861"/>
    <x v="1"/>
    <n v="11934"/>
  </r>
  <r>
    <x v="1"/>
    <x v="5"/>
    <x v="15"/>
    <x v="1"/>
    <x v="9"/>
    <x v="151"/>
    <x v="233"/>
    <x v="2"/>
    <n v="41640"/>
  </r>
  <r>
    <x v="1"/>
    <x v="5"/>
    <x v="15"/>
    <x v="9"/>
    <x v="27"/>
    <x v="44"/>
    <x v="862"/>
    <x v="2"/>
    <n v="20160"/>
  </r>
  <r>
    <x v="1"/>
    <x v="5"/>
    <x v="15"/>
    <x v="2"/>
    <x v="11"/>
    <x v="413"/>
    <x v="863"/>
    <x v="2"/>
    <n v="25929"/>
  </r>
  <r>
    <x v="1"/>
    <x v="5"/>
    <x v="15"/>
    <x v="0"/>
    <x v="11"/>
    <x v="180"/>
    <x v="298"/>
    <x v="2"/>
    <n v="59770"/>
  </r>
  <r>
    <x v="1"/>
    <x v="5"/>
    <x v="15"/>
    <x v="3"/>
    <x v="11"/>
    <x v="414"/>
    <x v="864"/>
    <x v="2"/>
    <n v="9589"/>
  </r>
  <r>
    <x v="1"/>
    <x v="5"/>
    <x v="15"/>
    <x v="4"/>
    <x v="11"/>
    <x v="15"/>
    <x v="865"/>
    <x v="2"/>
    <n v="33540"/>
  </r>
  <r>
    <x v="1"/>
    <x v="5"/>
    <x v="15"/>
    <x v="1"/>
    <x v="11"/>
    <x v="415"/>
    <x v="866"/>
    <x v="2"/>
    <n v="11438"/>
  </r>
  <r>
    <x v="1"/>
    <x v="5"/>
    <x v="15"/>
    <x v="7"/>
    <x v="11"/>
    <x v="416"/>
    <x v="867"/>
    <x v="2"/>
    <n v="18232"/>
  </r>
  <r>
    <x v="1"/>
    <x v="5"/>
    <x v="15"/>
    <x v="7"/>
    <x v="13"/>
    <x v="417"/>
    <x v="868"/>
    <x v="3"/>
    <n v="4459"/>
  </r>
  <r>
    <x v="1"/>
    <x v="5"/>
    <x v="15"/>
    <x v="2"/>
    <x v="14"/>
    <x v="418"/>
    <x v="869"/>
    <x v="3"/>
    <n v="11300"/>
  </r>
  <r>
    <x v="1"/>
    <x v="5"/>
    <x v="15"/>
    <x v="0"/>
    <x v="14"/>
    <x v="295"/>
    <x v="870"/>
    <x v="3"/>
    <n v="26750"/>
  </r>
  <r>
    <x v="1"/>
    <x v="5"/>
    <x v="15"/>
    <x v="6"/>
    <x v="14"/>
    <x v="73"/>
    <x v="581"/>
    <x v="3"/>
    <n v="35000"/>
  </r>
  <r>
    <x v="1"/>
    <x v="5"/>
    <x v="15"/>
    <x v="4"/>
    <x v="14"/>
    <x v="72"/>
    <x v="480"/>
    <x v="3"/>
    <n v="20000"/>
  </r>
  <r>
    <x v="1"/>
    <x v="5"/>
    <x v="15"/>
    <x v="1"/>
    <x v="14"/>
    <x v="419"/>
    <x v="871"/>
    <x v="3"/>
    <n v="33200"/>
  </r>
  <r>
    <x v="1"/>
    <x v="5"/>
    <x v="15"/>
    <x v="7"/>
    <x v="14"/>
    <x v="59"/>
    <x v="507"/>
    <x v="3"/>
    <n v="100"/>
  </r>
  <r>
    <x v="1"/>
    <x v="5"/>
    <x v="15"/>
    <x v="2"/>
    <x v="15"/>
    <x v="127"/>
    <x v="187"/>
    <x v="4"/>
    <n v="18975"/>
  </r>
  <r>
    <x v="1"/>
    <x v="5"/>
    <x v="15"/>
    <x v="0"/>
    <x v="15"/>
    <x v="420"/>
    <x v="872"/>
    <x v="4"/>
    <n v="37180"/>
  </r>
  <r>
    <x v="1"/>
    <x v="5"/>
    <x v="15"/>
    <x v="3"/>
    <x v="15"/>
    <x v="421"/>
    <x v="873"/>
    <x v="4"/>
    <n v="53955"/>
  </r>
  <r>
    <x v="1"/>
    <x v="5"/>
    <x v="15"/>
    <x v="4"/>
    <x v="15"/>
    <x v="185"/>
    <x v="431"/>
    <x v="4"/>
    <n v="19250"/>
  </r>
  <r>
    <x v="1"/>
    <x v="5"/>
    <x v="15"/>
    <x v="1"/>
    <x v="15"/>
    <x v="422"/>
    <x v="874"/>
    <x v="4"/>
    <n v="1870"/>
  </r>
  <r>
    <x v="1"/>
    <x v="5"/>
    <x v="15"/>
    <x v="7"/>
    <x v="15"/>
    <x v="288"/>
    <x v="875"/>
    <x v="4"/>
    <n v="41800"/>
  </r>
  <r>
    <x v="1"/>
    <x v="5"/>
    <x v="15"/>
    <x v="8"/>
    <x v="15"/>
    <x v="10"/>
    <x v="876"/>
    <x v="4"/>
    <n v="12650"/>
  </r>
  <r>
    <x v="1"/>
    <x v="5"/>
    <x v="15"/>
    <x v="0"/>
    <x v="16"/>
    <x v="281"/>
    <x v="877"/>
    <x v="4"/>
    <n v="10730"/>
  </r>
  <r>
    <x v="1"/>
    <x v="5"/>
    <x v="15"/>
    <x v="6"/>
    <x v="16"/>
    <x v="341"/>
    <x v="700"/>
    <x v="4"/>
    <n v="11890"/>
  </r>
  <r>
    <x v="1"/>
    <x v="5"/>
    <x v="15"/>
    <x v="4"/>
    <x v="16"/>
    <x v="58"/>
    <x v="257"/>
    <x v="4"/>
    <n v="2320"/>
  </r>
  <r>
    <x v="1"/>
    <x v="5"/>
    <x v="15"/>
    <x v="1"/>
    <x v="16"/>
    <x v="84"/>
    <x v="838"/>
    <x v="4"/>
    <n v="870"/>
  </r>
  <r>
    <x v="1"/>
    <x v="5"/>
    <x v="15"/>
    <x v="9"/>
    <x v="17"/>
    <x v="154"/>
    <x v="878"/>
    <x v="4"/>
    <n v="9600"/>
  </r>
  <r>
    <x v="1"/>
    <x v="5"/>
    <x v="15"/>
    <x v="2"/>
    <x v="18"/>
    <x v="154"/>
    <x v="442"/>
    <x v="5"/>
    <n v="10400"/>
  </r>
  <r>
    <x v="1"/>
    <x v="5"/>
    <x v="15"/>
    <x v="0"/>
    <x v="18"/>
    <x v="423"/>
    <x v="879"/>
    <x v="5"/>
    <n v="49075"/>
  </r>
  <r>
    <x v="1"/>
    <x v="5"/>
    <x v="15"/>
    <x v="3"/>
    <x v="18"/>
    <x v="424"/>
    <x v="880"/>
    <x v="5"/>
    <n v="50310"/>
  </r>
  <r>
    <x v="1"/>
    <x v="5"/>
    <x v="15"/>
    <x v="1"/>
    <x v="18"/>
    <x v="422"/>
    <x v="881"/>
    <x v="5"/>
    <n v="2210"/>
  </r>
  <r>
    <x v="1"/>
    <x v="5"/>
    <x v="15"/>
    <x v="7"/>
    <x v="18"/>
    <x v="46"/>
    <x v="52"/>
    <x v="5"/>
    <n v="13065"/>
  </r>
  <r>
    <x v="1"/>
    <x v="5"/>
    <x v="15"/>
    <x v="8"/>
    <x v="18"/>
    <x v="103"/>
    <x v="882"/>
    <x v="5"/>
    <n v="8125"/>
  </r>
  <r>
    <x v="1"/>
    <x v="5"/>
    <x v="15"/>
    <x v="9"/>
    <x v="18"/>
    <x v="101"/>
    <x v="134"/>
    <x v="5"/>
    <n v="26325"/>
  </r>
  <r>
    <x v="1"/>
    <x v="5"/>
    <x v="15"/>
    <x v="0"/>
    <x v="19"/>
    <x v="168"/>
    <x v="883"/>
    <x v="5"/>
    <n v="420"/>
  </r>
  <r>
    <x v="1"/>
    <x v="5"/>
    <x v="15"/>
    <x v="6"/>
    <x v="19"/>
    <x v="102"/>
    <x v="136"/>
    <x v="5"/>
    <n v="4550"/>
  </r>
  <r>
    <x v="1"/>
    <x v="5"/>
    <x v="15"/>
    <x v="9"/>
    <x v="19"/>
    <x v="425"/>
    <x v="884"/>
    <x v="5"/>
    <n v="14630"/>
  </r>
  <r>
    <x v="1"/>
    <x v="5"/>
    <x v="15"/>
    <x v="2"/>
    <x v="20"/>
    <x v="199"/>
    <x v="848"/>
    <x v="5"/>
    <n v="300"/>
  </r>
  <r>
    <x v="1"/>
    <x v="5"/>
    <x v="15"/>
    <x v="0"/>
    <x v="20"/>
    <x v="86"/>
    <x v="885"/>
    <x v="5"/>
    <n v="24000"/>
  </r>
  <r>
    <x v="1"/>
    <x v="5"/>
    <x v="15"/>
    <x v="3"/>
    <x v="20"/>
    <x v="426"/>
    <x v="886"/>
    <x v="5"/>
    <n v="16650"/>
  </r>
  <r>
    <x v="1"/>
    <x v="5"/>
    <x v="15"/>
    <x v="1"/>
    <x v="20"/>
    <x v="129"/>
    <x v="662"/>
    <x v="5"/>
    <n v="900"/>
  </r>
  <r>
    <x v="1"/>
    <x v="5"/>
    <x v="15"/>
    <x v="7"/>
    <x v="20"/>
    <x v="48"/>
    <x v="714"/>
    <x v="5"/>
    <n v="1875"/>
  </r>
  <r>
    <x v="1"/>
    <x v="5"/>
    <x v="15"/>
    <x v="8"/>
    <x v="20"/>
    <x v="28"/>
    <x v="32"/>
    <x v="5"/>
    <n v="0"/>
  </r>
  <r>
    <x v="1"/>
    <x v="5"/>
    <x v="15"/>
    <x v="9"/>
    <x v="20"/>
    <x v="65"/>
    <x v="887"/>
    <x v="5"/>
    <n v="5625"/>
  </r>
  <r>
    <x v="1"/>
    <x v="5"/>
    <x v="15"/>
    <x v="1"/>
    <x v="22"/>
    <x v="57"/>
    <x v="145"/>
    <x v="5"/>
    <n v="738"/>
  </r>
  <r>
    <x v="1"/>
    <x v="5"/>
    <x v="15"/>
    <x v="7"/>
    <x v="22"/>
    <x v="28"/>
    <x v="32"/>
    <x v="5"/>
    <n v="0"/>
  </r>
  <r>
    <x v="1"/>
    <x v="5"/>
    <x v="15"/>
    <x v="8"/>
    <x v="22"/>
    <x v="199"/>
    <x v="329"/>
    <x v="5"/>
    <n v="328"/>
  </r>
  <r>
    <x v="1"/>
    <x v="5"/>
    <x v="15"/>
    <x v="2"/>
    <x v="23"/>
    <x v="74"/>
    <x v="606"/>
    <x v="5"/>
    <n v="5100"/>
  </r>
  <r>
    <x v="1"/>
    <x v="5"/>
    <x v="15"/>
    <x v="3"/>
    <x v="23"/>
    <x v="1"/>
    <x v="888"/>
    <x v="5"/>
    <n v="1615"/>
  </r>
  <r>
    <x v="1"/>
    <x v="5"/>
    <x v="15"/>
    <x v="1"/>
    <x v="23"/>
    <x v="60"/>
    <x v="889"/>
    <x v="5"/>
    <n v="935"/>
  </r>
  <r>
    <x v="1"/>
    <x v="5"/>
    <x v="15"/>
    <x v="0"/>
    <x v="24"/>
    <x v="38"/>
    <x v="890"/>
    <x v="5"/>
    <n v="430"/>
  </r>
  <r>
    <x v="1"/>
    <x v="5"/>
    <x v="15"/>
    <x v="7"/>
    <x v="24"/>
    <x v="407"/>
    <x v="891"/>
    <x v="5"/>
    <n v="7568"/>
  </r>
  <r>
    <x v="1"/>
    <x v="5"/>
    <x v="15"/>
    <x v="0"/>
    <x v="25"/>
    <x v="45"/>
    <x v="335"/>
    <x v="5"/>
    <n v="98"/>
  </r>
  <r>
    <x v="1"/>
    <x v="5"/>
    <x v="15"/>
    <x v="7"/>
    <x v="25"/>
    <x v="199"/>
    <x v="892"/>
    <x v="5"/>
    <n v="392"/>
  </r>
  <r>
    <x v="1"/>
    <x v="5"/>
    <x v="15"/>
    <x v="1"/>
    <x v="26"/>
    <x v="59"/>
    <x v="893"/>
    <x v="5"/>
    <n v="200"/>
  </r>
  <r>
    <x v="1"/>
    <x v="5"/>
    <x v="16"/>
    <x v="0"/>
    <x v="6"/>
    <x v="58"/>
    <x v="677"/>
    <x v="0"/>
    <n v="1120"/>
  </r>
  <r>
    <x v="1"/>
    <x v="5"/>
    <x v="16"/>
    <x v="2"/>
    <x v="7"/>
    <x v="158"/>
    <x v="404"/>
    <x v="0"/>
    <n v="3360"/>
  </r>
  <r>
    <x v="1"/>
    <x v="5"/>
    <x v="16"/>
    <x v="0"/>
    <x v="7"/>
    <x v="248"/>
    <x v="460"/>
    <x v="0"/>
    <n v="38400"/>
  </r>
  <r>
    <x v="1"/>
    <x v="5"/>
    <x v="16"/>
    <x v="6"/>
    <x v="7"/>
    <x v="146"/>
    <x v="224"/>
    <x v="0"/>
    <n v="7040"/>
  </r>
  <r>
    <x v="1"/>
    <x v="5"/>
    <x v="16"/>
    <x v="3"/>
    <x v="7"/>
    <x v="427"/>
    <x v="894"/>
    <x v="0"/>
    <n v="34272"/>
  </r>
  <r>
    <x v="1"/>
    <x v="5"/>
    <x v="16"/>
    <x v="4"/>
    <x v="7"/>
    <x v="232"/>
    <x v="774"/>
    <x v="0"/>
    <n v="41600"/>
  </r>
  <r>
    <x v="1"/>
    <x v="5"/>
    <x v="16"/>
    <x v="1"/>
    <x v="7"/>
    <x v="221"/>
    <x v="895"/>
    <x v="0"/>
    <n v="23360"/>
  </r>
  <r>
    <x v="1"/>
    <x v="5"/>
    <x v="16"/>
    <x v="7"/>
    <x v="7"/>
    <x v="428"/>
    <x v="896"/>
    <x v="0"/>
    <n v="13184"/>
  </r>
  <r>
    <x v="1"/>
    <x v="5"/>
    <x v="16"/>
    <x v="8"/>
    <x v="7"/>
    <x v="429"/>
    <x v="897"/>
    <x v="0"/>
    <n v="11392"/>
  </r>
  <r>
    <x v="1"/>
    <x v="5"/>
    <x v="16"/>
    <x v="9"/>
    <x v="7"/>
    <x v="4"/>
    <x v="158"/>
    <x v="0"/>
    <n v="4160"/>
  </r>
  <r>
    <x v="1"/>
    <x v="5"/>
    <x v="16"/>
    <x v="5"/>
    <x v="8"/>
    <x v="125"/>
    <x v="898"/>
    <x v="1"/>
    <n v="11310"/>
  </r>
  <r>
    <x v="1"/>
    <x v="5"/>
    <x v="16"/>
    <x v="1"/>
    <x v="9"/>
    <x v="430"/>
    <x v="899"/>
    <x v="2"/>
    <n v="33840"/>
  </r>
  <r>
    <x v="1"/>
    <x v="5"/>
    <x v="16"/>
    <x v="9"/>
    <x v="10"/>
    <x v="214"/>
    <x v="900"/>
    <x v="2"/>
    <n v="17845"/>
  </r>
  <r>
    <x v="1"/>
    <x v="5"/>
    <x v="16"/>
    <x v="2"/>
    <x v="11"/>
    <x v="186"/>
    <x v="687"/>
    <x v="2"/>
    <n v="27090"/>
  </r>
  <r>
    <x v="1"/>
    <x v="5"/>
    <x v="16"/>
    <x v="0"/>
    <x v="11"/>
    <x v="386"/>
    <x v="901"/>
    <x v="2"/>
    <n v="53320"/>
  </r>
  <r>
    <x v="1"/>
    <x v="5"/>
    <x v="16"/>
    <x v="3"/>
    <x v="11"/>
    <x v="333"/>
    <x v="902"/>
    <x v="2"/>
    <n v="10535"/>
  </r>
  <r>
    <x v="1"/>
    <x v="5"/>
    <x v="16"/>
    <x v="4"/>
    <x v="11"/>
    <x v="194"/>
    <x v="903"/>
    <x v="2"/>
    <n v="32250"/>
  </r>
  <r>
    <x v="1"/>
    <x v="5"/>
    <x v="16"/>
    <x v="1"/>
    <x v="11"/>
    <x v="431"/>
    <x v="904"/>
    <x v="2"/>
    <n v="9761"/>
  </r>
  <r>
    <x v="1"/>
    <x v="5"/>
    <x v="16"/>
    <x v="7"/>
    <x v="11"/>
    <x v="432"/>
    <x v="905"/>
    <x v="2"/>
    <n v="21027"/>
  </r>
  <r>
    <x v="1"/>
    <x v="5"/>
    <x v="16"/>
    <x v="7"/>
    <x v="13"/>
    <x v="433"/>
    <x v="906"/>
    <x v="3"/>
    <n v="7154"/>
  </r>
  <r>
    <x v="1"/>
    <x v="5"/>
    <x v="16"/>
    <x v="2"/>
    <x v="14"/>
    <x v="10"/>
    <x v="907"/>
    <x v="3"/>
    <n v="11500"/>
  </r>
  <r>
    <x v="1"/>
    <x v="5"/>
    <x v="16"/>
    <x v="0"/>
    <x v="14"/>
    <x v="44"/>
    <x v="114"/>
    <x v="3"/>
    <n v="24000"/>
  </r>
  <r>
    <x v="1"/>
    <x v="5"/>
    <x v="16"/>
    <x v="6"/>
    <x v="14"/>
    <x v="434"/>
    <x v="908"/>
    <x v="3"/>
    <n v="37000"/>
  </r>
  <r>
    <x v="1"/>
    <x v="5"/>
    <x v="16"/>
    <x v="4"/>
    <x v="14"/>
    <x v="162"/>
    <x v="909"/>
    <x v="3"/>
    <n v="27500"/>
  </r>
  <r>
    <x v="1"/>
    <x v="5"/>
    <x v="16"/>
    <x v="1"/>
    <x v="14"/>
    <x v="83"/>
    <x v="910"/>
    <x v="3"/>
    <n v="29000"/>
  </r>
  <r>
    <x v="1"/>
    <x v="5"/>
    <x v="16"/>
    <x v="7"/>
    <x v="14"/>
    <x v="154"/>
    <x v="911"/>
    <x v="3"/>
    <n v="8000"/>
  </r>
  <r>
    <x v="1"/>
    <x v="5"/>
    <x v="16"/>
    <x v="2"/>
    <x v="15"/>
    <x v="435"/>
    <x v="912"/>
    <x v="4"/>
    <n v="17875"/>
  </r>
  <r>
    <x v="1"/>
    <x v="5"/>
    <x v="16"/>
    <x v="0"/>
    <x v="15"/>
    <x v="436"/>
    <x v="913"/>
    <x v="4"/>
    <n v="37950"/>
  </r>
  <r>
    <x v="1"/>
    <x v="5"/>
    <x v="16"/>
    <x v="3"/>
    <x v="15"/>
    <x v="437"/>
    <x v="914"/>
    <x v="4"/>
    <n v="63470"/>
  </r>
  <r>
    <x v="1"/>
    <x v="5"/>
    <x v="16"/>
    <x v="4"/>
    <x v="15"/>
    <x v="438"/>
    <x v="915"/>
    <x v="4"/>
    <n v="22550"/>
  </r>
  <r>
    <x v="1"/>
    <x v="5"/>
    <x v="16"/>
    <x v="1"/>
    <x v="15"/>
    <x v="129"/>
    <x v="190"/>
    <x v="4"/>
    <n v="660"/>
  </r>
  <r>
    <x v="1"/>
    <x v="5"/>
    <x v="16"/>
    <x v="7"/>
    <x v="15"/>
    <x v="439"/>
    <x v="916"/>
    <x v="4"/>
    <n v="39985"/>
  </r>
  <r>
    <x v="1"/>
    <x v="5"/>
    <x v="16"/>
    <x v="8"/>
    <x v="15"/>
    <x v="141"/>
    <x v="917"/>
    <x v="4"/>
    <n v="8140"/>
  </r>
  <r>
    <x v="1"/>
    <x v="5"/>
    <x v="16"/>
    <x v="0"/>
    <x v="16"/>
    <x v="23"/>
    <x v="49"/>
    <x v="4"/>
    <n v="8700"/>
  </r>
  <r>
    <x v="1"/>
    <x v="5"/>
    <x v="16"/>
    <x v="6"/>
    <x v="16"/>
    <x v="268"/>
    <x v="918"/>
    <x v="4"/>
    <n v="12470"/>
  </r>
  <r>
    <x v="1"/>
    <x v="5"/>
    <x v="16"/>
    <x v="4"/>
    <x v="16"/>
    <x v="3"/>
    <x v="48"/>
    <x v="4"/>
    <n v="2900"/>
  </r>
  <r>
    <x v="1"/>
    <x v="5"/>
    <x v="16"/>
    <x v="1"/>
    <x v="16"/>
    <x v="200"/>
    <x v="919"/>
    <x v="4"/>
    <n v="754"/>
  </r>
  <r>
    <x v="1"/>
    <x v="5"/>
    <x v="16"/>
    <x v="9"/>
    <x v="17"/>
    <x v="55"/>
    <x v="920"/>
    <x v="4"/>
    <n v="7200"/>
  </r>
  <r>
    <x v="1"/>
    <x v="5"/>
    <x v="16"/>
    <x v="2"/>
    <x v="18"/>
    <x v="23"/>
    <x v="921"/>
    <x v="5"/>
    <n v="9750"/>
  </r>
  <r>
    <x v="1"/>
    <x v="5"/>
    <x v="16"/>
    <x v="0"/>
    <x v="18"/>
    <x v="440"/>
    <x v="922"/>
    <x v="5"/>
    <n v="50375"/>
  </r>
  <r>
    <x v="1"/>
    <x v="5"/>
    <x v="16"/>
    <x v="3"/>
    <x v="18"/>
    <x v="441"/>
    <x v="923"/>
    <x v="5"/>
    <n v="44915"/>
  </r>
  <r>
    <x v="1"/>
    <x v="5"/>
    <x v="16"/>
    <x v="1"/>
    <x v="18"/>
    <x v="171"/>
    <x v="924"/>
    <x v="5"/>
    <n v="3055"/>
  </r>
  <r>
    <x v="1"/>
    <x v="5"/>
    <x v="16"/>
    <x v="7"/>
    <x v="18"/>
    <x v="237"/>
    <x v="925"/>
    <x v="5"/>
    <n v="9230"/>
  </r>
  <r>
    <x v="1"/>
    <x v="5"/>
    <x v="16"/>
    <x v="8"/>
    <x v="18"/>
    <x v="218"/>
    <x v="926"/>
    <x v="5"/>
    <n v="6630"/>
  </r>
  <r>
    <x v="1"/>
    <x v="5"/>
    <x v="16"/>
    <x v="9"/>
    <x v="18"/>
    <x v="306"/>
    <x v="927"/>
    <x v="5"/>
    <n v="30875"/>
  </r>
  <r>
    <x v="1"/>
    <x v="5"/>
    <x v="16"/>
    <x v="6"/>
    <x v="19"/>
    <x v="16"/>
    <x v="60"/>
    <x v="5"/>
    <n v="4900"/>
  </r>
  <r>
    <x v="1"/>
    <x v="5"/>
    <x v="16"/>
    <x v="9"/>
    <x v="19"/>
    <x v="81"/>
    <x v="928"/>
    <x v="5"/>
    <n v="14000"/>
  </r>
  <r>
    <x v="1"/>
    <x v="5"/>
    <x v="16"/>
    <x v="2"/>
    <x v="20"/>
    <x v="199"/>
    <x v="848"/>
    <x v="5"/>
    <n v="300"/>
  </r>
  <r>
    <x v="1"/>
    <x v="5"/>
    <x v="16"/>
    <x v="0"/>
    <x v="20"/>
    <x v="185"/>
    <x v="929"/>
    <x v="5"/>
    <n v="26250"/>
  </r>
  <r>
    <x v="1"/>
    <x v="5"/>
    <x v="16"/>
    <x v="3"/>
    <x v="20"/>
    <x v="442"/>
    <x v="930"/>
    <x v="5"/>
    <n v="18300"/>
  </r>
  <r>
    <x v="1"/>
    <x v="5"/>
    <x v="16"/>
    <x v="1"/>
    <x v="20"/>
    <x v="38"/>
    <x v="931"/>
    <x v="5"/>
    <n v="375"/>
  </r>
  <r>
    <x v="1"/>
    <x v="5"/>
    <x v="16"/>
    <x v="7"/>
    <x v="20"/>
    <x v="223"/>
    <x v="932"/>
    <x v="5"/>
    <n v="1275"/>
  </r>
  <r>
    <x v="1"/>
    <x v="5"/>
    <x v="16"/>
    <x v="9"/>
    <x v="20"/>
    <x v="94"/>
    <x v="274"/>
    <x v="5"/>
    <n v="6000"/>
  </r>
  <r>
    <x v="1"/>
    <x v="5"/>
    <x v="16"/>
    <x v="1"/>
    <x v="22"/>
    <x v="57"/>
    <x v="145"/>
    <x v="5"/>
    <n v="738"/>
  </r>
  <r>
    <x v="1"/>
    <x v="5"/>
    <x v="16"/>
    <x v="7"/>
    <x v="22"/>
    <x v="45"/>
    <x v="70"/>
    <x v="5"/>
    <n v="82"/>
  </r>
  <r>
    <x v="1"/>
    <x v="5"/>
    <x v="16"/>
    <x v="2"/>
    <x v="23"/>
    <x v="94"/>
    <x v="933"/>
    <x v="5"/>
    <n v="6800"/>
  </r>
  <r>
    <x v="1"/>
    <x v="5"/>
    <x v="16"/>
    <x v="3"/>
    <x v="23"/>
    <x v="304"/>
    <x v="934"/>
    <x v="5"/>
    <n v="2295"/>
  </r>
  <r>
    <x v="1"/>
    <x v="5"/>
    <x v="16"/>
    <x v="1"/>
    <x v="23"/>
    <x v="169"/>
    <x v="505"/>
    <x v="5"/>
    <n v="2380"/>
  </r>
  <r>
    <x v="1"/>
    <x v="5"/>
    <x v="16"/>
    <x v="0"/>
    <x v="24"/>
    <x v="168"/>
    <x v="807"/>
    <x v="5"/>
    <n v="516"/>
  </r>
  <r>
    <x v="1"/>
    <x v="5"/>
    <x v="16"/>
    <x v="7"/>
    <x v="24"/>
    <x v="443"/>
    <x v="935"/>
    <x v="5"/>
    <n v="8514"/>
  </r>
  <r>
    <x v="1"/>
    <x v="5"/>
    <x v="16"/>
    <x v="0"/>
    <x v="25"/>
    <x v="59"/>
    <x v="76"/>
    <x v="5"/>
    <n v="196"/>
  </r>
  <r>
    <x v="1"/>
    <x v="5"/>
    <x v="16"/>
    <x v="7"/>
    <x v="25"/>
    <x v="143"/>
    <x v="215"/>
    <x v="5"/>
    <n v="294"/>
  </r>
  <r>
    <x v="1"/>
    <x v="5"/>
    <x v="16"/>
    <x v="1"/>
    <x v="26"/>
    <x v="45"/>
    <x v="77"/>
    <x v="5"/>
    <n v="100"/>
  </r>
  <r>
    <x v="1"/>
    <x v="5"/>
    <x v="16"/>
    <x v="0"/>
    <x v="28"/>
    <x v="45"/>
    <x v="936"/>
    <x v="5"/>
    <n v="90"/>
  </r>
  <r>
    <x v="1"/>
    <x v="5"/>
    <x v="17"/>
    <x v="0"/>
    <x v="6"/>
    <x v="202"/>
    <x v="937"/>
    <x v="0"/>
    <n v="1008"/>
  </r>
  <r>
    <x v="1"/>
    <x v="5"/>
    <x v="17"/>
    <x v="2"/>
    <x v="7"/>
    <x v="444"/>
    <x v="938"/>
    <x v="0"/>
    <n v="3872"/>
  </r>
  <r>
    <x v="1"/>
    <x v="5"/>
    <x v="17"/>
    <x v="0"/>
    <x v="7"/>
    <x v="145"/>
    <x v="223"/>
    <x v="0"/>
    <n v="33600"/>
  </r>
  <r>
    <x v="1"/>
    <x v="5"/>
    <x v="17"/>
    <x v="6"/>
    <x v="7"/>
    <x v="100"/>
    <x v="939"/>
    <x v="0"/>
    <n v="6720"/>
  </r>
  <r>
    <x v="1"/>
    <x v="5"/>
    <x v="17"/>
    <x v="3"/>
    <x v="7"/>
    <x v="445"/>
    <x v="940"/>
    <x v="0"/>
    <n v="40160"/>
  </r>
  <r>
    <x v="1"/>
    <x v="5"/>
    <x v="17"/>
    <x v="4"/>
    <x v="7"/>
    <x v="446"/>
    <x v="941"/>
    <x v="0"/>
    <n v="40320"/>
  </r>
  <r>
    <x v="1"/>
    <x v="5"/>
    <x v="17"/>
    <x v="1"/>
    <x v="7"/>
    <x v="13"/>
    <x v="15"/>
    <x v="0"/>
    <n v="22720"/>
  </r>
  <r>
    <x v="1"/>
    <x v="5"/>
    <x v="17"/>
    <x v="7"/>
    <x v="7"/>
    <x v="34"/>
    <x v="942"/>
    <x v="0"/>
    <n v="12000"/>
  </r>
  <r>
    <x v="1"/>
    <x v="5"/>
    <x v="17"/>
    <x v="8"/>
    <x v="7"/>
    <x v="447"/>
    <x v="943"/>
    <x v="0"/>
    <n v="9024"/>
  </r>
  <r>
    <x v="1"/>
    <x v="5"/>
    <x v="17"/>
    <x v="9"/>
    <x v="7"/>
    <x v="367"/>
    <x v="773"/>
    <x v="0"/>
    <n v="3552"/>
  </r>
  <r>
    <x v="1"/>
    <x v="5"/>
    <x v="17"/>
    <x v="5"/>
    <x v="8"/>
    <x v="68"/>
    <x v="944"/>
    <x v="1"/>
    <n v="7020"/>
  </r>
  <r>
    <x v="1"/>
    <x v="5"/>
    <x v="17"/>
    <x v="1"/>
    <x v="9"/>
    <x v="448"/>
    <x v="945"/>
    <x v="2"/>
    <n v="41840"/>
  </r>
  <r>
    <x v="1"/>
    <x v="5"/>
    <x v="17"/>
    <x v="9"/>
    <x v="9"/>
    <x v="84"/>
    <x v="685"/>
    <x v="2"/>
    <n v="600"/>
  </r>
  <r>
    <x v="1"/>
    <x v="5"/>
    <x v="17"/>
    <x v="9"/>
    <x v="10"/>
    <x v="86"/>
    <x v="946"/>
    <x v="2"/>
    <n v="13280"/>
  </r>
  <r>
    <x v="1"/>
    <x v="5"/>
    <x v="17"/>
    <x v="2"/>
    <x v="11"/>
    <x v="449"/>
    <x v="947"/>
    <x v="2"/>
    <n v="25886"/>
  </r>
  <r>
    <x v="1"/>
    <x v="5"/>
    <x v="17"/>
    <x v="0"/>
    <x v="11"/>
    <x v="207"/>
    <x v="948"/>
    <x v="2"/>
    <n v="49880"/>
  </r>
  <r>
    <x v="1"/>
    <x v="5"/>
    <x v="17"/>
    <x v="3"/>
    <x v="11"/>
    <x v="10"/>
    <x v="949"/>
    <x v="2"/>
    <n v="9890"/>
  </r>
  <r>
    <x v="1"/>
    <x v="5"/>
    <x v="17"/>
    <x v="4"/>
    <x v="11"/>
    <x v="24"/>
    <x v="28"/>
    <x v="2"/>
    <n v="25370"/>
  </r>
  <r>
    <x v="1"/>
    <x v="5"/>
    <x v="17"/>
    <x v="1"/>
    <x v="11"/>
    <x v="160"/>
    <x v="950"/>
    <x v="2"/>
    <n v="13330"/>
  </r>
  <r>
    <x v="1"/>
    <x v="5"/>
    <x v="17"/>
    <x v="7"/>
    <x v="11"/>
    <x v="450"/>
    <x v="951"/>
    <x v="2"/>
    <n v="13674"/>
  </r>
  <r>
    <x v="1"/>
    <x v="5"/>
    <x v="17"/>
    <x v="7"/>
    <x v="13"/>
    <x v="190"/>
    <x v="952"/>
    <x v="3"/>
    <n v="3626"/>
  </r>
  <r>
    <x v="1"/>
    <x v="5"/>
    <x v="17"/>
    <x v="2"/>
    <x v="14"/>
    <x v="157"/>
    <x v="953"/>
    <x v="3"/>
    <n v="12000"/>
  </r>
  <r>
    <x v="1"/>
    <x v="5"/>
    <x v="17"/>
    <x v="0"/>
    <x v="14"/>
    <x v="31"/>
    <x v="368"/>
    <x v="3"/>
    <n v="17000"/>
  </r>
  <r>
    <x v="1"/>
    <x v="5"/>
    <x v="17"/>
    <x v="6"/>
    <x v="14"/>
    <x v="321"/>
    <x v="640"/>
    <x v="3"/>
    <n v="36000"/>
  </r>
  <r>
    <x v="1"/>
    <x v="5"/>
    <x v="17"/>
    <x v="4"/>
    <x v="14"/>
    <x v="254"/>
    <x v="954"/>
    <x v="3"/>
    <n v="26000"/>
  </r>
  <r>
    <x v="1"/>
    <x v="5"/>
    <x v="17"/>
    <x v="1"/>
    <x v="14"/>
    <x v="451"/>
    <x v="955"/>
    <x v="3"/>
    <n v="30600"/>
  </r>
  <r>
    <x v="1"/>
    <x v="5"/>
    <x v="17"/>
    <x v="7"/>
    <x v="14"/>
    <x v="452"/>
    <x v="956"/>
    <x v="3"/>
    <n v="8750"/>
  </r>
  <r>
    <x v="1"/>
    <x v="5"/>
    <x v="17"/>
    <x v="2"/>
    <x v="15"/>
    <x v="319"/>
    <x v="957"/>
    <x v="4"/>
    <n v="17765"/>
  </r>
  <r>
    <x v="1"/>
    <x v="5"/>
    <x v="17"/>
    <x v="0"/>
    <x v="15"/>
    <x v="97"/>
    <x v="188"/>
    <x v="4"/>
    <n v="34100"/>
  </r>
  <r>
    <x v="1"/>
    <x v="5"/>
    <x v="17"/>
    <x v="3"/>
    <x v="15"/>
    <x v="453"/>
    <x v="958"/>
    <x v="4"/>
    <n v="68090"/>
  </r>
  <r>
    <x v="1"/>
    <x v="5"/>
    <x v="17"/>
    <x v="4"/>
    <x v="15"/>
    <x v="438"/>
    <x v="915"/>
    <x v="4"/>
    <n v="22550"/>
  </r>
  <r>
    <x v="1"/>
    <x v="5"/>
    <x v="17"/>
    <x v="1"/>
    <x v="15"/>
    <x v="84"/>
    <x v="959"/>
    <x v="4"/>
    <n v="825"/>
  </r>
  <r>
    <x v="1"/>
    <x v="5"/>
    <x v="17"/>
    <x v="7"/>
    <x v="15"/>
    <x v="73"/>
    <x v="832"/>
    <x v="4"/>
    <n v="38500"/>
  </r>
  <r>
    <x v="1"/>
    <x v="5"/>
    <x v="17"/>
    <x v="8"/>
    <x v="15"/>
    <x v="297"/>
    <x v="587"/>
    <x v="4"/>
    <n v="12540"/>
  </r>
  <r>
    <x v="1"/>
    <x v="5"/>
    <x v="17"/>
    <x v="0"/>
    <x v="16"/>
    <x v="41"/>
    <x v="377"/>
    <x v="4"/>
    <n v="6380"/>
  </r>
  <r>
    <x v="1"/>
    <x v="5"/>
    <x v="17"/>
    <x v="6"/>
    <x v="16"/>
    <x v="81"/>
    <x v="378"/>
    <x v="4"/>
    <n v="11600"/>
  </r>
  <r>
    <x v="1"/>
    <x v="5"/>
    <x v="17"/>
    <x v="4"/>
    <x v="16"/>
    <x v="74"/>
    <x v="960"/>
    <x v="4"/>
    <n v="3480"/>
  </r>
  <r>
    <x v="1"/>
    <x v="5"/>
    <x v="17"/>
    <x v="1"/>
    <x v="16"/>
    <x v="57"/>
    <x v="961"/>
    <x v="4"/>
    <n v="522"/>
  </r>
  <r>
    <x v="1"/>
    <x v="5"/>
    <x v="17"/>
    <x v="9"/>
    <x v="17"/>
    <x v="342"/>
    <x v="702"/>
    <x v="4"/>
    <n v="9900"/>
  </r>
  <r>
    <x v="1"/>
    <x v="5"/>
    <x v="17"/>
    <x v="2"/>
    <x v="18"/>
    <x v="454"/>
    <x v="962"/>
    <x v="5"/>
    <n v="10335"/>
  </r>
  <r>
    <x v="1"/>
    <x v="5"/>
    <x v="17"/>
    <x v="0"/>
    <x v="18"/>
    <x v="455"/>
    <x v="963"/>
    <x v="5"/>
    <n v="52000"/>
  </r>
  <r>
    <x v="1"/>
    <x v="5"/>
    <x v="17"/>
    <x v="3"/>
    <x v="18"/>
    <x v="456"/>
    <x v="964"/>
    <x v="5"/>
    <n v="43225"/>
  </r>
  <r>
    <x v="1"/>
    <x v="5"/>
    <x v="17"/>
    <x v="4"/>
    <x v="18"/>
    <x v="43"/>
    <x v="32"/>
    <x v="5"/>
    <n v="0"/>
  </r>
  <r>
    <x v="1"/>
    <x v="5"/>
    <x v="17"/>
    <x v="1"/>
    <x v="18"/>
    <x v="58"/>
    <x v="965"/>
    <x v="5"/>
    <n v="2600"/>
  </r>
  <r>
    <x v="1"/>
    <x v="5"/>
    <x v="17"/>
    <x v="7"/>
    <x v="18"/>
    <x v="81"/>
    <x v="201"/>
    <x v="5"/>
    <n v="13000"/>
  </r>
  <r>
    <x v="1"/>
    <x v="5"/>
    <x v="17"/>
    <x v="8"/>
    <x v="18"/>
    <x v="457"/>
    <x v="966"/>
    <x v="5"/>
    <n v="9165"/>
  </r>
  <r>
    <x v="1"/>
    <x v="5"/>
    <x v="17"/>
    <x v="9"/>
    <x v="18"/>
    <x v="438"/>
    <x v="967"/>
    <x v="5"/>
    <n v="26650"/>
  </r>
  <r>
    <x v="1"/>
    <x v="5"/>
    <x v="17"/>
    <x v="6"/>
    <x v="19"/>
    <x v="16"/>
    <x v="60"/>
    <x v="5"/>
    <n v="4900"/>
  </r>
  <r>
    <x v="1"/>
    <x v="5"/>
    <x v="17"/>
    <x v="9"/>
    <x v="19"/>
    <x v="458"/>
    <x v="968"/>
    <x v="5"/>
    <n v="14140"/>
  </r>
  <r>
    <x v="1"/>
    <x v="5"/>
    <x v="17"/>
    <x v="2"/>
    <x v="20"/>
    <x v="143"/>
    <x v="969"/>
    <x v="5"/>
    <n v="225"/>
  </r>
  <r>
    <x v="1"/>
    <x v="5"/>
    <x v="17"/>
    <x v="0"/>
    <x v="20"/>
    <x v="122"/>
    <x v="970"/>
    <x v="5"/>
    <n v="28500"/>
  </r>
  <r>
    <x v="1"/>
    <x v="5"/>
    <x v="17"/>
    <x v="3"/>
    <x v="20"/>
    <x v="459"/>
    <x v="971"/>
    <x v="5"/>
    <n v="13725"/>
  </r>
  <r>
    <x v="1"/>
    <x v="5"/>
    <x v="17"/>
    <x v="1"/>
    <x v="20"/>
    <x v="45"/>
    <x v="972"/>
    <x v="5"/>
    <n v="75"/>
  </r>
  <r>
    <x v="1"/>
    <x v="5"/>
    <x v="17"/>
    <x v="7"/>
    <x v="20"/>
    <x v="61"/>
    <x v="209"/>
    <x v="5"/>
    <n v="1050"/>
  </r>
  <r>
    <x v="1"/>
    <x v="5"/>
    <x v="17"/>
    <x v="9"/>
    <x v="20"/>
    <x v="23"/>
    <x v="393"/>
    <x v="5"/>
    <n v="11250"/>
  </r>
  <r>
    <x v="1"/>
    <x v="5"/>
    <x v="17"/>
    <x v="1"/>
    <x v="22"/>
    <x v="57"/>
    <x v="145"/>
    <x v="5"/>
    <n v="738"/>
  </r>
  <r>
    <x v="1"/>
    <x v="5"/>
    <x v="17"/>
    <x v="7"/>
    <x v="22"/>
    <x v="45"/>
    <x v="70"/>
    <x v="5"/>
    <n v="82"/>
  </r>
  <r>
    <x v="1"/>
    <x v="5"/>
    <x v="17"/>
    <x v="2"/>
    <x v="23"/>
    <x v="16"/>
    <x v="973"/>
    <x v="5"/>
    <n v="5950"/>
  </r>
  <r>
    <x v="1"/>
    <x v="5"/>
    <x v="17"/>
    <x v="3"/>
    <x v="23"/>
    <x v="283"/>
    <x v="974"/>
    <x v="5"/>
    <n v="1530"/>
  </r>
  <r>
    <x v="1"/>
    <x v="5"/>
    <x v="17"/>
    <x v="1"/>
    <x v="23"/>
    <x v="223"/>
    <x v="975"/>
    <x v="5"/>
    <n v="1445"/>
  </r>
  <r>
    <x v="1"/>
    <x v="5"/>
    <x v="17"/>
    <x v="0"/>
    <x v="24"/>
    <x v="38"/>
    <x v="890"/>
    <x v="5"/>
    <n v="430"/>
  </r>
  <r>
    <x v="1"/>
    <x v="5"/>
    <x v="17"/>
    <x v="7"/>
    <x v="24"/>
    <x v="55"/>
    <x v="105"/>
    <x v="5"/>
    <n v="10320"/>
  </r>
  <r>
    <x v="1"/>
    <x v="5"/>
    <x v="17"/>
    <x v="0"/>
    <x v="25"/>
    <x v="59"/>
    <x v="76"/>
    <x v="5"/>
    <n v="196"/>
  </r>
  <r>
    <x v="1"/>
    <x v="5"/>
    <x v="17"/>
    <x v="3"/>
    <x v="25"/>
    <x v="38"/>
    <x v="304"/>
    <x v="5"/>
    <n v="490"/>
  </r>
  <r>
    <x v="1"/>
    <x v="5"/>
    <x v="17"/>
    <x v="7"/>
    <x v="25"/>
    <x v="38"/>
    <x v="304"/>
    <x v="5"/>
    <n v="490"/>
  </r>
  <r>
    <x v="1"/>
    <x v="5"/>
    <x v="17"/>
    <x v="1"/>
    <x v="26"/>
    <x v="45"/>
    <x v="77"/>
    <x v="5"/>
    <n v="100"/>
  </r>
  <r>
    <x v="1"/>
    <x v="5"/>
    <x v="17"/>
    <x v="0"/>
    <x v="28"/>
    <x v="45"/>
    <x v="936"/>
    <x v="5"/>
    <n v="90"/>
  </r>
  <r>
    <x v="1"/>
    <x v="6"/>
    <x v="18"/>
    <x v="0"/>
    <x v="6"/>
    <x v="30"/>
    <x v="976"/>
    <x v="0"/>
    <n v="1540"/>
  </r>
  <r>
    <x v="1"/>
    <x v="6"/>
    <x v="18"/>
    <x v="3"/>
    <x v="6"/>
    <x v="28"/>
    <x v="32"/>
    <x v="0"/>
    <n v="0"/>
  </r>
  <r>
    <x v="1"/>
    <x v="6"/>
    <x v="18"/>
    <x v="2"/>
    <x v="7"/>
    <x v="460"/>
    <x v="977"/>
    <x v="0"/>
    <n v="3136"/>
  </r>
  <r>
    <x v="1"/>
    <x v="6"/>
    <x v="18"/>
    <x v="0"/>
    <x v="7"/>
    <x v="189"/>
    <x v="407"/>
    <x v="0"/>
    <n v="35200"/>
  </r>
  <r>
    <x v="1"/>
    <x v="6"/>
    <x v="18"/>
    <x v="6"/>
    <x v="7"/>
    <x v="146"/>
    <x v="224"/>
    <x v="0"/>
    <n v="7040"/>
  </r>
  <r>
    <x v="1"/>
    <x v="6"/>
    <x v="18"/>
    <x v="3"/>
    <x v="7"/>
    <x v="461"/>
    <x v="978"/>
    <x v="0"/>
    <n v="39776"/>
  </r>
  <r>
    <x v="1"/>
    <x v="6"/>
    <x v="18"/>
    <x v="4"/>
    <x v="7"/>
    <x v="232"/>
    <x v="774"/>
    <x v="0"/>
    <n v="41600"/>
  </r>
  <r>
    <x v="1"/>
    <x v="6"/>
    <x v="18"/>
    <x v="1"/>
    <x v="7"/>
    <x v="462"/>
    <x v="979"/>
    <x v="0"/>
    <n v="24448"/>
  </r>
  <r>
    <x v="1"/>
    <x v="6"/>
    <x v="18"/>
    <x v="7"/>
    <x v="7"/>
    <x v="463"/>
    <x v="980"/>
    <x v="0"/>
    <n v="10912"/>
  </r>
  <r>
    <x v="1"/>
    <x v="6"/>
    <x v="18"/>
    <x v="8"/>
    <x v="7"/>
    <x v="55"/>
    <x v="683"/>
    <x v="0"/>
    <n v="3840"/>
  </r>
  <r>
    <x v="1"/>
    <x v="6"/>
    <x v="18"/>
    <x v="9"/>
    <x v="7"/>
    <x v="406"/>
    <x v="981"/>
    <x v="0"/>
    <n v="5952"/>
  </r>
  <r>
    <x v="1"/>
    <x v="6"/>
    <x v="18"/>
    <x v="2"/>
    <x v="8"/>
    <x v="28"/>
    <x v="32"/>
    <x v="1"/>
    <n v="0"/>
  </r>
  <r>
    <x v="1"/>
    <x v="6"/>
    <x v="18"/>
    <x v="5"/>
    <x v="8"/>
    <x v="86"/>
    <x v="168"/>
    <x v="1"/>
    <n v="12480"/>
  </r>
  <r>
    <x v="1"/>
    <x v="6"/>
    <x v="18"/>
    <x v="1"/>
    <x v="8"/>
    <x v="28"/>
    <x v="32"/>
    <x v="1"/>
    <n v="0"/>
  </r>
  <r>
    <x v="1"/>
    <x v="6"/>
    <x v="18"/>
    <x v="2"/>
    <x v="9"/>
    <x v="28"/>
    <x v="32"/>
    <x v="2"/>
    <n v="0"/>
  </r>
  <r>
    <x v="1"/>
    <x v="6"/>
    <x v="18"/>
    <x v="1"/>
    <x v="9"/>
    <x v="464"/>
    <x v="982"/>
    <x v="2"/>
    <n v="39720"/>
  </r>
  <r>
    <x v="1"/>
    <x v="6"/>
    <x v="18"/>
    <x v="8"/>
    <x v="9"/>
    <x v="28"/>
    <x v="32"/>
    <x v="2"/>
    <n v="0"/>
  </r>
  <r>
    <x v="1"/>
    <x v="6"/>
    <x v="18"/>
    <x v="9"/>
    <x v="9"/>
    <x v="28"/>
    <x v="32"/>
    <x v="2"/>
    <n v="0"/>
  </r>
  <r>
    <x v="1"/>
    <x v="6"/>
    <x v="18"/>
    <x v="9"/>
    <x v="10"/>
    <x v="81"/>
    <x v="983"/>
    <x v="2"/>
    <n v="8300"/>
  </r>
  <r>
    <x v="1"/>
    <x v="6"/>
    <x v="18"/>
    <x v="2"/>
    <x v="27"/>
    <x v="28"/>
    <x v="32"/>
    <x v="2"/>
    <n v="0"/>
  </r>
  <r>
    <x v="1"/>
    <x v="6"/>
    <x v="18"/>
    <x v="1"/>
    <x v="27"/>
    <x v="28"/>
    <x v="32"/>
    <x v="2"/>
    <n v="0"/>
  </r>
  <r>
    <x v="1"/>
    <x v="6"/>
    <x v="18"/>
    <x v="7"/>
    <x v="27"/>
    <x v="28"/>
    <x v="32"/>
    <x v="2"/>
    <n v="0"/>
  </r>
  <r>
    <x v="1"/>
    <x v="6"/>
    <x v="18"/>
    <x v="2"/>
    <x v="11"/>
    <x v="465"/>
    <x v="984"/>
    <x v="2"/>
    <n v="24639"/>
  </r>
  <r>
    <x v="1"/>
    <x v="6"/>
    <x v="18"/>
    <x v="0"/>
    <x v="11"/>
    <x v="466"/>
    <x v="985"/>
    <x v="2"/>
    <n v="50740"/>
  </r>
  <r>
    <x v="1"/>
    <x v="6"/>
    <x v="18"/>
    <x v="3"/>
    <x v="11"/>
    <x v="184"/>
    <x v="822"/>
    <x v="2"/>
    <n v="9675"/>
  </r>
  <r>
    <x v="1"/>
    <x v="6"/>
    <x v="18"/>
    <x v="4"/>
    <x v="11"/>
    <x v="130"/>
    <x v="986"/>
    <x v="2"/>
    <n v="26230"/>
  </r>
  <r>
    <x v="1"/>
    <x v="6"/>
    <x v="18"/>
    <x v="1"/>
    <x v="11"/>
    <x v="134"/>
    <x v="471"/>
    <x v="2"/>
    <n v="10105"/>
  </r>
  <r>
    <x v="1"/>
    <x v="6"/>
    <x v="18"/>
    <x v="7"/>
    <x v="11"/>
    <x v="467"/>
    <x v="987"/>
    <x v="2"/>
    <n v="10234"/>
  </r>
  <r>
    <x v="1"/>
    <x v="6"/>
    <x v="18"/>
    <x v="8"/>
    <x v="11"/>
    <x v="28"/>
    <x v="32"/>
    <x v="2"/>
    <n v="0"/>
  </r>
  <r>
    <x v="1"/>
    <x v="6"/>
    <x v="18"/>
    <x v="1"/>
    <x v="12"/>
    <x v="28"/>
    <x v="32"/>
    <x v="3"/>
    <n v="0"/>
  </r>
  <r>
    <x v="1"/>
    <x v="6"/>
    <x v="18"/>
    <x v="9"/>
    <x v="12"/>
    <x v="28"/>
    <x v="32"/>
    <x v="3"/>
    <n v="0"/>
  </r>
  <r>
    <x v="1"/>
    <x v="6"/>
    <x v="18"/>
    <x v="0"/>
    <x v="13"/>
    <x v="28"/>
    <x v="32"/>
    <x v="3"/>
    <n v="0"/>
  </r>
  <r>
    <x v="1"/>
    <x v="6"/>
    <x v="18"/>
    <x v="3"/>
    <x v="13"/>
    <x v="28"/>
    <x v="32"/>
    <x v="3"/>
    <n v="0"/>
  </r>
  <r>
    <x v="1"/>
    <x v="6"/>
    <x v="18"/>
    <x v="7"/>
    <x v="13"/>
    <x v="133"/>
    <x v="988"/>
    <x v="3"/>
    <n v="3038"/>
  </r>
  <r>
    <x v="1"/>
    <x v="6"/>
    <x v="18"/>
    <x v="8"/>
    <x v="13"/>
    <x v="28"/>
    <x v="32"/>
    <x v="3"/>
    <n v="0"/>
  </r>
  <r>
    <x v="1"/>
    <x v="6"/>
    <x v="18"/>
    <x v="2"/>
    <x v="14"/>
    <x v="468"/>
    <x v="989"/>
    <x v="3"/>
    <n v="13100"/>
  </r>
  <r>
    <x v="1"/>
    <x v="6"/>
    <x v="18"/>
    <x v="0"/>
    <x v="14"/>
    <x v="72"/>
    <x v="480"/>
    <x v="3"/>
    <n v="20000"/>
  </r>
  <r>
    <x v="1"/>
    <x v="6"/>
    <x v="18"/>
    <x v="6"/>
    <x v="14"/>
    <x v="130"/>
    <x v="990"/>
    <x v="3"/>
    <n v="30500"/>
  </r>
  <r>
    <x v="1"/>
    <x v="6"/>
    <x v="18"/>
    <x v="4"/>
    <x v="14"/>
    <x v="92"/>
    <x v="639"/>
    <x v="3"/>
    <n v="22500"/>
  </r>
  <r>
    <x v="1"/>
    <x v="6"/>
    <x v="18"/>
    <x v="1"/>
    <x v="14"/>
    <x v="469"/>
    <x v="991"/>
    <x v="3"/>
    <n v="30950"/>
  </r>
  <r>
    <x v="1"/>
    <x v="6"/>
    <x v="18"/>
    <x v="7"/>
    <x v="14"/>
    <x v="470"/>
    <x v="992"/>
    <x v="3"/>
    <n v="8100"/>
  </r>
  <r>
    <x v="1"/>
    <x v="6"/>
    <x v="18"/>
    <x v="2"/>
    <x v="15"/>
    <x v="316"/>
    <x v="993"/>
    <x v="4"/>
    <n v="18150"/>
  </r>
  <r>
    <x v="1"/>
    <x v="6"/>
    <x v="18"/>
    <x v="0"/>
    <x v="15"/>
    <x v="275"/>
    <x v="994"/>
    <x v="4"/>
    <n v="35750"/>
  </r>
  <r>
    <x v="1"/>
    <x v="6"/>
    <x v="18"/>
    <x v="3"/>
    <x v="15"/>
    <x v="471"/>
    <x v="995"/>
    <x v="4"/>
    <n v="66385"/>
  </r>
  <r>
    <x v="1"/>
    <x v="6"/>
    <x v="18"/>
    <x v="4"/>
    <x v="15"/>
    <x v="72"/>
    <x v="996"/>
    <x v="4"/>
    <n v="22000"/>
  </r>
  <r>
    <x v="1"/>
    <x v="6"/>
    <x v="18"/>
    <x v="1"/>
    <x v="15"/>
    <x v="129"/>
    <x v="190"/>
    <x v="4"/>
    <n v="660"/>
  </r>
  <r>
    <x v="1"/>
    <x v="6"/>
    <x v="18"/>
    <x v="7"/>
    <x v="15"/>
    <x v="472"/>
    <x v="997"/>
    <x v="4"/>
    <n v="32120"/>
  </r>
  <r>
    <x v="1"/>
    <x v="6"/>
    <x v="18"/>
    <x v="8"/>
    <x v="15"/>
    <x v="389"/>
    <x v="998"/>
    <x v="4"/>
    <n v="12870"/>
  </r>
  <r>
    <x v="1"/>
    <x v="6"/>
    <x v="18"/>
    <x v="9"/>
    <x v="15"/>
    <x v="28"/>
    <x v="32"/>
    <x v="4"/>
    <n v="0"/>
  </r>
  <r>
    <x v="1"/>
    <x v="6"/>
    <x v="18"/>
    <x v="0"/>
    <x v="16"/>
    <x v="8"/>
    <x v="999"/>
    <x v="4"/>
    <n v="5800"/>
  </r>
  <r>
    <x v="1"/>
    <x v="6"/>
    <x v="18"/>
    <x v="6"/>
    <x v="16"/>
    <x v="68"/>
    <x v="488"/>
    <x v="4"/>
    <n v="10440"/>
  </r>
  <r>
    <x v="1"/>
    <x v="6"/>
    <x v="18"/>
    <x v="4"/>
    <x v="16"/>
    <x v="473"/>
    <x v="1000"/>
    <x v="4"/>
    <n v="4466"/>
  </r>
  <r>
    <x v="1"/>
    <x v="6"/>
    <x v="18"/>
    <x v="1"/>
    <x v="16"/>
    <x v="0"/>
    <x v="1001"/>
    <x v="4"/>
    <n v="580"/>
  </r>
  <r>
    <x v="1"/>
    <x v="6"/>
    <x v="18"/>
    <x v="7"/>
    <x v="17"/>
    <x v="28"/>
    <x v="32"/>
    <x v="4"/>
    <n v="0"/>
  </r>
  <r>
    <x v="1"/>
    <x v="6"/>
    <x v="18"/>
    <x v="8"/>
    <x v="17"/>
    <x v="28"/>
    <x v="32"/>
    <x v="4"/>
    <n v="0"/>
  </r>
  <r>
    <x v="1"/>
    <x v="6"/>
    <x v="18"/>
    <x v="9"/>
    <x v="17"/>
    <x v="474"/>
    <x v="1002"/>
    <x v="4"/>
    <n v="10020"/>
  </r>
  <r>
    <x v="1"/>
    <x v="6"/>
    <x v="18"/>
    <x v="2"/>
    <x v="18"/>
    <x v="19"/>
    <x v="495"/>
    <x v="5"/>
    <n v="9425"/>
  </r>
  <r>
    <x v="1"/>
    <x v="6"/>
    <x v="18"/>
    <x v="0"/>
    <x v="18"/>
    <x v="194"/>
    <x v="321"/>
    <x v="5"/>
    <n v="48750"/>
  </r>
  <r>
    <x v="1"/>
    <x v="6"/>
    <x v="18"/>
    <x v="3"/>
    <x v="18"/>
    <x v="475"/>
    <x v="1003"/>
    <x v="5"/>
    <n v="42965"/>
  </r>
  <r>
    <x v="1"/>
    <x v="6"/>
    <x v="18"/>
    <x v="4"/>
    <x v="18"/>
    <x v="28"/>
    <x v="32"/>
    <x v="5"/>
    <n v="0"/>
  </r>
  <r>
    <x v="1"/>
    <x v="6"/>
    <x v="18"/>
    <x v="1"/>
    <x v="18"/>
    <x v="382"/>
    <x v="800"/>
    <x v="5"/>
    <n v="3315"/>
  </r>
  <r>
    <x v="1"/>
    <x v="6"/>
    <x v="18"/>
    <x v="7"/>
    <x v="18"/>
    <x v="476"/>
    <x v="1004"/>
    <x v="5"/>
    <n v="10790"/>
  </r>
  <r>
    <x v="1"/>
    <x v="6"/>
    <x v="18"/>
    <x v="8"/>
    <x v="18"/>
    <x v="477"/>
    <x v="1005"/>
    <x v="5"/>
    <n v="6565"/>
  </r>
  <r>
    <x v="1"/>
    <x v="6"/>
    <x v="18"/>
    <x v="9"/>
    <x v="18"/>
    <x v="164"/>
    <x v="496"/>
    <x v="5"/>
    <n v="28600"/>
  </r>
  <r>
    <x v="1"/>
    <x v="6"/>
    <x v="18"/>
    <x v="0"/>
    <x v="19"/>
    <x v="28"/>
    <x v="32"/>
    <x v="5"/>
    <n v="0"/>
  </r>
  <r>
    <x v="1"/>
    <x v="6"/>
    <x v="18"/>
    <x v="6"/>
    <x v="19"/>
    <x v="94"/>
    <x v="710"/>
    <x v="5"/>
    <n v="5600"/>
  </r>
  <r>
    <x v="1"/>
    <x v="6"/>
    <x v="18"/>
    <x v="9"/>
    <x v="19"/>
    <x v="268"/>
    <x v="1006"/>
    <x v="5"/>
    <n v="15050"/>
  </r>
  <r>
    <x v="1"/>
    <x v="6"/>
    <x v="18"/>
    <x v="2"/>
    <x v="20"/>
    <x v="59"/>
    <x v="1007"/>
    <x v="5"/>
    <n v="150"/>
  </r>
  <r>
    <x v="1"/>
    <x v="6"/>
    <x v="18"/>
    <x v="0"/>
    <x v="20"/>
    <x v="123"/>
    <x v="1008"/>
    <x v="5"/>
    <n v="27750"/>
  </r>
  <r>
    <x v="1"/>
    <x v="6"/>
    <x v="18"/>
    <x v="3"/>
    <x v="20"/>
    <x v="478"/>
    <x v="1009"/>
    <x v="5"/>
    <n v="20925"/>
  </r>
  <r>
    <x v="1"/>
    <x v="6"/>
    <x v="18"/>
    <x v="1"/>
    <x v="20"/>
    <x v="28"/>
    <x v="32"/>
    <x v="5"/>
    <n v="0"/>
  </r>
  <r>
    <x v="1"/>
    <x v="6"/>
    <x v="18"/>
    <x v="7"/>
    <x v="20"/>
    <x v="48"/>
    <x v="714"/>
    <x v="5"/>
    <n v="1875"/>
  </r>
  <r>
    <x v="1"/>
    <x v="6"/>
    <x v="18"/>
    <x v="8"/>
    <x v="20"/>
    <x v="28"/>
    <x v="32"/>
    <x v="5"/>
    <n v="0"/>
  </r>
  <r>
    <x v="1"/>
    <x v="6"/>
    <x v="18"/>
    <x v="9"/>
    <x v="20"/>
    <x v="32"/>
    <x v="1010"/>
    <x v="5"/>
    <n v="10500"/>
  </r>
  <r>
    <x v="1"/>
    <x v="6"/>
    <x v="18"/>
    <x v="9"/>
    <x v="21"/>
    <x v="28"/>
    <x v="32"/>
    <x v="5"/>
    <n v="0"/>
  </r>
  <r>
    <x v="1"/>
    <x v="6"/>
    <x v="18"/>
    <x v="1"/>
    <x v="22"/>
    <x v="60"/>
    <x v="715"/>
    <x v="5"/>
    <n v="902"/>
  </r>
  <r>
    <x v="1"/>
    <x v="6"/>
    <x v="18"/>
    <x v="7"/>
    <x v="22"/>
    <x v="201"/>
    <x v="1011"/>
    <x v="5"/>
    <n v="16.400000000000002"/>
  </r>
  <r>
    <x v="1"/>
    <x v="6"/>
    <x v="18"/>
    <x v="8"/>
    <x v="22"/>
    <x v="28"/>
    <x v="32"/>
    <x v="5"/>
    <n v="0"/>
  </r>
  <r>
    <x v="1"/>
    <x v="6"/>
    <x v="18"/>
    <x v="2"/>
    <x v="23"/>
    <x v="94"/>
    <x v="933"/>
    <x v="5"/>
    <n v="6800"/>
  </r>
  <r>
    <x v="1"/>
    <x v="6"/>
    <x v="18"/>
    <x v="3"/>
    <x v="23"/>
    <x v="198"/>
    <x v="1012"/>
    <x v="5"/>
    <n v="1870"/>
  </r>
  <r>
    <x v="1"/>
    <x v="6"/>
    <x v="18"/>
    <x v="1"/>
    <x v="23"/>
    <x v="283"/>
    <x v="974"/>
    <x v="5"/>
    <n v="1530"/>
  </r>
  <r>
    <x v="1"/>
    <x v="6"/>
    <x v="18"/>
    <x v="8"/>
    <x v="23"/>
    <x v="28"/>
    <x v="32"/>
    <x v="5"/>
    <n v="0"/>
  </r>
  <r>
    <x v="1"/>
    <x v="6"/>
    <x v="18"/>
    <x v="0"/>
    <x v="24"/>
    <x v="168"/>
    <x v="807"/>
    <x v="5"/>
    <n v="516"/>
  </r>
  <r>
    <x v="1"/>
    <x v="6"/>
    <x v="18"/>
    <x v="7"/>
    <x v="24"/>
    <x v="477"/>
    <x v="1013"/>
    <x v="5"/>
    <n v="8686"/>
  </r>
  <r>
    <x v="1"/>
    <x v="6"/>
    <x v="18"/>
    <x v="0"/>
    <x v="25"/>
    <x v="59"/>
    <x v="76"/>
    <x v="5"/>
    <n v="196"/>
  </r>
  <r>
    <x v="1"/>
    <x v="6"/>
    <x v="18"/>
    <x v="3"/>
    <x v="25"/>
    <x v="38"/>
    <x v="304"/>
    <x v="5"/>
    <n v="490"/>
  </r>
  <r>
    <x v="1"/>
    <x v="6"/>
    <x v="18"/>
    <x v="7"/>
    <x v="25"/>
    <x v="143"/>
    <x v="215"/>
    <x v="5"/>
    <n v="294"/>
  </r>
  <r>
    <x v="1"/>
    <x v="6"/>
    <x v="18"/>
    <x v="8"/>
    <x v="25"/>
    <x v="28"/>
    <x v="32"/>
    <x v="5"/>
    <n v="0"/>
  </r>
  <r>
    <x v="1"/>
    <x v="6"/>
    <x v="18"/>
    <x v="1"/>
    <x v="26"/>
    <x v="45"/>
    <x v="77"/>
    <x v="5"/>
    <n v="100"/>
  </r>
  <r>
    <x v="1"/>
    <x v="6"/>
    <x v="18"/>
    <x v="0"/>
    <x v="28"/>
    <x v="59"/>
    <x v="1014"/>
    <x v="5"/>
    <n v="180"/>
  </r>
  <r>
    <x v="1"/>
    <x v="6"/>
    <x v="18"/>
    <x v="9"/>
    <x v="28"/>
    <x v="28"/>
    <x v="32"/>
    <x v="5"/>
    <n v="0"/>
  </r>
  <r>
    <x v="1"/>
    <x v="6"/>
    <x v="18"/>
    <x v="2"/>
    <x v="29"/>
    <x v="28"/>
    <x v="32"/>
    <x v="0"/>
    <n v="0"/>
  </r>
  <r>
    <x v="1"/>
    <x v="6"/>
    <x v="18"/>
    <x v="0"/>
    <x v="29"/>
    <x v="28"/>
    <x v="32"/>
    <x v="0"/>
    <n v="0"/>
  </r>
  <r>
    <x v="1"/>
    <x v="6"/>
    <x v="18"/>
    <x v="1"/>
    <x v="29"/>
    <x v="28"/>
    <x v="32"/>
    <x v="0"/>
    <n v="0"/>
  </r>
  <r>
    <x v="1"/>
    <x v="6"/>
    <x v="18"/>
    <x v="7"/>
    <x v="29"/>
    <x v="28"/>
    <x v="32"/>
    <x v="0"/>
    <n v="0"/>
  </r>
  <r>
    <x v="1"/>
    <x v="6"/>
    <x v="18"/>
    <x v="8"/>
    <x v="29"/>
    <x v="28"/>
    <x v="32"/>
    <x v="0"/>
    <n v="0"/>
  </r>
  <r>
    <x v="1"/>
    <x v="6"/>
    <x v="18"/>
    <x v="2"/>
    <x v="30"/>
    <x v="28"/>
    <x v="32"/>
    <x v="3"/>
    <n v="0"/>
  </r>
  <r>
    <x v="1"/>
    <x v="6"/>
    <x v="18"/>
    <x v="0"/>
    <x v="30"/>
    <x v="28"/>
    <x v="32"/>
    <x v="3"/>
    <n v="0"/>
  </r>
  <r>
    <x v="1"/>
    <x v="6"/>
    <x v="18"/>
    <x v="3"/>
    <x v="30"/>
    <x v="28"/>
    <x v="32"/>
    <x v="3"/>
    <n v="0"/>
  </r>
  <r>
    <x v="1"/>
    <x v="6"/>
    <x v="18"/>
    <x v="1"/>
    <x v="30"/>
    <x v="28"/>
    <x v="32"/>
    <x v="3"/>
    <n v="0"/>
  </r>
  <r>
    <x v="1"/>
    <x v="6"/>
    <x v="18"/>
    <x v="8"/>
    <x v="30"/>
    <x v="28"/>
    <x v="32"/>
    <x v="3"/>
    <n v="0"/>
  </r>
  <r>
    <x v="1"/>
    <x v="6"/>
    <x v="18"/>
    <x v="9"/>
    <x v="30"/>
    <x v="28"/>
    <x v="32"/>
    <x v="3"/>
    <n v="0"/>
  </r>
  <r>
    <x v="1"/>
    <x v="6"/>
    <x v="18"/>
    <x v="0"/>
    <x v="31"/>
    <x v="28"/>
    <x v="32"/>
    <x v="1"/>
    <n v="0"/>
  </r>
  <r>
    <x v="1"/>
    <x v="6"/>
    <x v="18"/>
    <x v="3"/>
    <x v="31"/>
    <x v="28"/>
    <x v="32"/>
    <x v="1"/>
    <n v="0"/>
  </r>
  <r>
    <x v="1"/>
    <x v="6"/>
    <x v="18"/>
    <x v="7"/>
    <x v="31"/>
    <x v="28"/>
    <x v="32"/>
    <x v="1"/>
    <n v="0"/>
  </r>
  <r>
    <x v="1"/>
    <x v="6"/>
    <x v="18"/>
    <x v="0"/>
    <x v="32"/>
    <x v="28"/>
    <x v="32"/>
    <x v="2"/>
    <n v="0"/>
  </r>
  <r>
    <x v="1"/>
    <x v="6"/>
    <x v="18"/>
    <x v="0"/>
    <x v="33"/>
    <x v="28"/>
    <x v="32"/>
    <x v="3"/>
    <n v="0"/>
  </r>
  <r>
    <x v="1"/>
    <x v="6"/>
    <x v="18"/>
    <x v="3"/>
    <x v="33"/>
    <x v="28"/>
    <x v="32"/>
    <x v="3"/>
    <n v="0"/>
  </r>
  <r>
    <x v="1"/>
    <x v="6"/>
    <x v="18"/>
    <x v="8"/>
    <x v="33"/>
    <x v="28"/>
    <x v="32"/>
    <x v="3"/>
    <n v="0"/>
  </r>
  <r>
    <x v="1"/>
    <x v="6"/>
    <x v="18"/>
    <x v="1"/>
    <x v="34"/>
    <x v="28"/>
    <x v="32"/>
    <x v="0"/>
    <n v="0"/>
  </r>
  <r>
    <x v="1"/>
    <x v="6"/>
    <x v="18"/>
    <x v="7"/>
    <x v="35"/>
    <x v="28"/>
    <x v="32"/>
    <x v="3"/>
    <n v="0"/>
  </r>
  <r>
    <x v="1"/>
    <x v="6"/>
    <x v="18"/>
    <x v="7"/>
    <x v="36"/>
    <x v="28"/>
    <x v="32"/>
    <x v="5"/>
    <n v="0"/>
  </r>
  <r>
    <x v="1"/>
    <x v="6"/>
    <x v="18"/>
    <x v="7"/>
    <x v="37"/>
    <x v="28"/>
    <x v="32"/>
    <x v="5"/>
    <n v="0"/>
  </r>
  <r>
    <x v="1"/>
    <x v="6"/>
    <x v="18"/>
    <x v="8"/>
    <x v="38"/>
    <x v="28"/>
    <x v="32"/>
    <x v="5"/>
    <n v="0"/>
  </r>
  <r>
    <x v="1"/>
    <x v="6"/>
    <x v="18"/>
    <x v="9"/>
    <x v="39"/>
    <x v="28"/>
    <x v="32"/>
    <x v="4"/>
    <n v="0"/>
  </r>
  <r>
    <x v="1"/>
    <x v="6"/>
    <x v="19"/>
    <x v="0"/>
    <x v="6"/>
    <x v="20"/>
    <x v="1015"/>
    <x v="0"/>
    <n v="1260"/>
  </r>
  <r>
    <x v="1"/>
    <x v="6"/>
    <x v="19"/>
    <x v="2"/>
    <x v="7"/>
    <x v="479"/>
    <x v="1016"/>
    <x v="0"/>
    <n v="3616"/>
  </r>
  <r>
    <x v="1"/>
    <x v="6"/>
    <x v="19"/>
    <x v="0"/>
    <x v="7"/>
    <x v="480"/>
    <x v="1017"/>
    <x v="0"/>
    <n v="30400"/>
  </r>
  <r>
    <x v="1"/>
    <x v="6"/>
    <x v="19"/>
    <x v="6"/>
    <x v="7"/>
    <x v="10"/>
    <x v="12"/>
    <x v="0"/>
    <n v="7360"/>
  </r>
  <r>
    <x v="1"/>
    <x v="6"/>
    <x v="19"/>
    <x v="3"/>
    <x v="7"/>
    <x v="481"/>
    <x v="1018"/>
    <x v="0"/>
    <n v="29152"/>
  </r>
  <r>
    <x v="1"/>
    <x v="6"/>
    <x v="19"/>
    <x v="4"/>
    <x v="7"/>
    <x v="115"/>
    <x v="165"/>
    <x v="0"/>
    <n v="29120"/>
  </r>
  <r>
    <x v="1"/>
    <x v="6"/>
    <x v="19"/>
    <x v="1"/>
    <x v="7"/>
    <x v="482"/>
    <x v="1019"/>
    <x v="0"/>
    <n v="24608"/>
  </r>
  <r>
    <x v="1"/>
    <x v="6"/>
    <x v="19"/>
    <x v="7"/>
    <x v="7"/>
    <x v="183"/>
    <x v="1020"/>
    <x v="0"/>
    <n v="12480"/>
  </r>
  <r>
    <x v="1"/>
    <x v="6"/>
    <x v="19"/>
    <x v="8"/>
    <x v="7"/>
    <x v="376"/>
    <x v="1021"/>
    <x v="0"/>
    <n v="7904"/>
  </r>
  <r>
    <x v="1"/>
    <x v="6"/>
    <x v="19"/>
    <x v="9"/>
    <x v="7"/>
    <x v="383"/>
    <x v="1022"/>
    <x v="0"/>
    <n v="3456"/>
  </r>
  <r>
    <x v="1"/>
    <x v="6"/>
    <x v="19"/>
    <x v="5"/>
    <x v="8"/>
    <x v="100"/>
    <x v="1023"/>
    <x v="1"/>
    <n v="8190"/>
  </r>
  <r>
    <x v="1"/>
    <x v="6"/>
    <x v="19"/>
    <x v="1"/>
    <x v="9"/>
    <x v="483"/>
    <x v="1024"/>
    <x v="2"/>
    <n v="34960"/>
  </r>
  <r>
    <x v="1"/>
    <x v="6"/>
    <x v="19"/>
    <x v="9"/>
    <x v="10"/>
    <x v="484"/>
    <x v="1025"/>
    <x v="2"/>
    <n v="9005.5"/>
  </r>
  <r>
    <x v="1"/>
    <x v="6"/>
    <x v="19"/>
    <x v="2"/>
    <x v="11"/>
    <x v="485"/>
    <x v="1026"/>
    <x v="2"/>
    <n v="26058"/>
  </r>
  <r>
    <x v="1"/>
    <x v="6"/>
    <x v="19"/>
    <x v="0"/>
    <x v="11"/>
    <x v="409"/>
    <x v="1027"/>
    <x v="2"/>
    <n v="49020"/>
  </r>
  <r>
    <x v="1"/>
    <x v="6"/>
    <x v="19"/>
    <x v="3"/>
    <x v="11"/>
    <x v="486"/>
    <x v="1028"/>
    <x v="2"/>
    <n v="8901"/>
  </r>
  <r>
    <x v="1"/>
    <x v="6"/>
    <x v="19"/>
    <x v="4"/>
    <x v="11"/>
    <x v="257"/>
    <x v="1029"/>
    <x v="2"/>
    <n v="28380"/>
  </r>
  <r>
    <x v="1"/>
    <x v="6"/>
    <x v="19"/>
    <x v="1"/>
    <x v="11"/>
    <x v="292"/>
    <x v="1030"/>
    <x v="2"/>
    <n v="12943"/>
  </r>
  <r>
    <x v="1"/>
    <x v="6"/>
    <x v="19"/>
    <x v="7"/>
    <x v="11"/>
    <x v="90"/>
    <x v="720"/>
    <x v="2"/>
    <n v="12040"/>
  </r>
  <r>
    <x v="1"/>
    <x v="6"/>
    <x v="19"/>
    <x v="7"/>
    <x v="13"/>
    <x v="20"/>
    <x v="1031"/>
    <x v="3"/>
    <n v="2205"/>
  </r>
  <r>
    <x v="1"/>
    <x v="6"/>
    <x v="19"/>
    <x v="2"/>
    <x v="14"/>
    <x v="442"/>
    <x v="1032"/>
    <x v="3"/>
    <n v="12200"/>
  </r>
  <r>
    <x v="1"/>
    <x v="6"/>
    <x v="19"/>
    <x v="0"/>
    <x v="14"/>
    <x v="122"/>
    <x v="1033"/>
    <x v="3"/>
    <n v="19000"/>
  </r>
  <r>
    <x v="1"/>
    <x v="6"/>
    <x v="19"/>
    <x v="6"/>
    <x v="14"/>
    <x v="27"/>
    <x v="1034"/>
    <x v="3"/>
    <n v="32000"/>
  </r>
  <r>
    <x v="1"/>
    <x v="6"/>
    <x v="19"/>
    <x v="4"/>
    <x v="14"/>
    <x v="92"/>
    <x v="639"/>
    <x v="3"/>
    <n v="22500"/>
  </r>
  <r>
    <x v="1"/>
    <x v="6"/>
    <x v="19"/>
    <x v="1"/>
    <x v="14"/>
    <x v="110"/>
    <x v="1035"/>
    <x v="3"/>
    <n v="33100"/>
  </r>
  <r>
    <x v="1"/>
    <x v="6"/>
    <x v="19"/>
    <x v="7"/>
    <x v="14"/>
    <x v="154"/>
    <x v="911"/>
    <x v="3"/>
    <n v="8000"/>
  </r>
  <r>
    <x v="1"/>
    <x v="6"/>
    <x v="19"/>
    <x v="2"/>
    <x v="15"/>
    <x v="487"/>
    <x v="1036"/>
    <x v="4"/>
    <n v="16885"/>
  </r>
  <r>
    <x v="1"/>
    <x v="6"/>
    <x v="19"/>
    <x v="0"/>
    <x v="15"/>
    <x v="27"/>
    <x v="589"/>
    <x v="4"/>
    <n v="35200"/>
  </r>
  <r>
    <x v="1"/>
    <x v="6"/>
    <x v="19"/>
    <x v="3"/>
    <x v="15"/>
    <x v="488"/>
    <x v="1037"/>
    <x v="4"/>
    <n v="69795"/>
  </r>
  <r>
    <x v="1"/>
    <x v="6"/>
    <x v="19"/>
    <x v="4"/>
    <x v="15"/>
    <x v="122"/>
    <x v="532"/>
    <x v="4"/>
    <n v="20900"/>
  </r>
  <r>
    <x v="1"/>
    <x v="6"/>
    <x v="19"/>
    <x v="1"/>
    <x v="15"/>
    <x v="199"/>
    <x v="537"/>
    <x v="4"/>
    <n v="220"/>
  </r>
  <r>
    <x v="1"/>
    <x v="6"/>
    <x v="19"/>
    <x v="7"/>
    <x v="15"/>
    <x v="124"/>
    <x v="1038"/>
    <x v="4"/>
    <n v="30800"/>
  </r>
  <r>
    <x v="1"/>
    <x v="6"/>
    <x v="19"/>
    <x v="8"/>
    <x v="15"/>
    <x v="489"/>
    <x v="1039"/>
    <x v="4"/>
    <n v="13035"/>
  </r>
  <r>
    <x v="1"/>
    <x v="6"/>
    <x v="19"/>
    <x v="0"/>
    <x v="16"/>
    <x v="41"/>
    <x v="377"/>
    <x v="4"/>
    <n v="6380"/>
  </r>
  <r>
    <x v="1"/>
    <x v="6"/>
    <x v="19"/>
    <x v="6"/>
    <x v="16"/>
    <x v="281"/>
    <x v="877"/>
    <x v="4"/>
    <n v="10730"/>
  </r>
  <r>
    <x v="1"/>
    <x v="6"/>
    <x v="19"/>
    <x v="4"/>
    <x v="16"/>
    <x v="3"/>
    <x v="48"/>
    <x v="4"/>
    <n v="2900"/>
  </r>
  <r>
    <x v="1"/>
    <x v="6"/>
    <x v="19"/>
    <x v="1"/>
    <x v="16"/>
    <x v="60"/>
    <x v="1040"/>
    <x v="4"/>
    <n v="638"/>
  </r>
  <r>
    <x v="1"/>
    <x v="6"/>
    <x v="19"/>
    <x v="9"/>
    <x v="17"/>
    <x v="490"/>
    <x v="1041"/>
    <x v="4"/>
    <n v="11580"/>
  </r>
  <r>
    <x v="1"/>
    <x v="6"/>
    <x v="19"/>
    <x v="2"/>
    <x v="18"/>
    <x v="491"/>
    <x v="1042"/>
    <x v="5"/>
    <n v="7670"/>
  </r>
  <r>
    <x v="1"/>
    <x v="6"/>
    <x v="19"/>
    <x v="0"/>
    <x v="18"/>
    <x v="288"/>
    <x v="1043"/>
    <x v="5"/>
    <n v="49400"/>
  </r>
  <r>
    <x v="1"/>
    <x v="6"/>
    <x v="19"/>
    <x v="3"/>
    <x v="18"/>
    <x v="410"/>
    <x v="1044"/>
    <x v="5"/>
    <n v="43745"/>
  </r>
  <r>
    <x v="1"/>
    <x v="6"/>
    <x v="19"/>
    <x v="1"/>
    <x v="18"/>
    <x v="137"/>
    <x v="200"/>
    <x v="5"/>
    <n v="2795"/>
  </r>
  <r>
    <x v="1"/>
    <x v="6"/>
    <x v="19"/>
    <x v="7"/>
    <x v="18"/>
    <x v="23"/>
    <x v="921"/>
    <x v="5"/>
    <n v="9750"/>
  </r>
  <r>
    <x v="1"/>
    <x v="6"/>
    <x v="19"/>
    <x v="8"/>
    <x v="18"/>
    <x v="104"/>
    <x v="1045"/>
    <x v="5"/>
    <n v="6240"/>
  </r>
  <r>
    <x v="1"/>
    <x v="6"/>
    <x v="19"/>
    <x v="9"/>
    <x v="18"/>
    <x v="159"/>
    <x v="659"/>
    <x v="5"/>
    <n v="19500"/>
  </r>
  <r>
    <x v="1"/>
    <x v="6"/>
    <x v="19"/>
    <x v="6"/>
    <x v="19"/>
    <x v="109"/>
    <x v="387"/>
    <x v="5"/>
    <n v="6300"/>
  </r>
  <r>
    <x v="1"/>
    <x v="6"/>
    <x v="19"/>
    <x v="9"/>
    <x v="19"/>
    <x v="492"/>
    <x v="1046"/>
    <x v="5"/>
    <n v="16870"/>
  </r>
  <r>
    <x v="1"/>
    <x v="6"/>
    <x v="19"/>
    <x v="2"/>
    <x v="20"/>
    <x v="59"/>
    <x v="1007"/>
    <x v="5"/>
    <n v="150"/>
  </r>
  <r>
    <x v="1"/>
    <x v="6"/>
    <x v="19"/>
    <x v="0"/>
    <x v="20"/>
    <x v="88"/>
    <x v="500"/>
    <x v="5"/>
    <n v="27000"/>
  </r>
  <r>
    <x v="1"/>
    <x v="6"/>
    <x v="19"/>
    <x v="3"/>
    <x v="20"/>
    <x v="487"/>
    <x v="1047"/>
    <x v="5"/>
    <n v="23025"/>
  </r>
  <r>
    <x v="1"/>
    <x v="6"/>
    <x v="19"/>
    <x v="1"/>
    <x v="20"/>
    <x v="59"/>
    <x v="1007"/>
    <x v="5"/>
    <n v="150"/>
  </r>
  <r>
    <x v="1"/>
    <x v="6"/>
    <x v="19"/>
    <x v="7"/>
    <x v="20"/>
    <x v="7"/>
    <x v="554"/>
    <x v="5"/>
    <n v="1500"/>
  </r>
  <r>
    <x v="1"/>
    <x v="6"/>
    <x v="19"/>
    <x v="9"/>
    <x v="20"/>
    <x v="493"/>
    <x v="1048"/>
    <x v="5"/>
    <n v="14100"/>
  </r>
  <r>
    <x v="1"/>
    <x v="6"/>
    <x v="19"/>
    <x v="1"/>
    <x v="22"/>
    <x v="168"/>
    <x v="275"/>
    <x v="5"/>
    <n v="492"/>
  </r>
  <r>
    <x v="1"/>
    <x v="6"/>
    <x v="19"/>
    <x v="2"/>
    <x v="23"/>
    <x v="363"/>
    <x v="1049"/>
    <x v="5"/>
    <n v="7820"/>
  </r>
  <r>
    <x v="1"/>
    <x v="6"/>
    <x v="19"/>
    <x v="3"/>
    <x v="23"/>
    <x v="75"/>
    <x v="1050"/>
    <x v="5"/>
    <n v="1785"/>
  </r>
  <r>
    <x v="1"/>
    <x v="6"/>
    <x v="19"/>
    <x v="1"/>
    <x v="23"/>
    <x v="75"/>
    <x v="1050"/>
    <x v="5"/>
    <n v="1785"/>
  </r>
  <r>
    <x v="1"/>
    <x v="6"/>
    <x v="19"/>
    <x v="0"/>
    <x v="24"/>
    <x v="38"/>
    <x v="890"/>
    <x v="5"/>
    <n v="430"/>
  </r>
  <r>
    <x v="1"/>
    <x v="6"/>
    <x v="19"/>
    <x v="7"/>
    <x v="24"/>
    <x v="8"/>
    <x v="301"/>
    <x v="5"/>
    <n v="8600"/>
  </r>
  <r>
    <x v="1"/>
    <x v="6"/>
    <x v="19"/>
    <x v="0"/>
    <x v="25"/>
    <x v="45"/>
    <x v="335"/>
    <x v="5"/>
    <n v="98"/>
  </r>
  <r>
    <x v="1"/>
    <x v="6"/>
    <x v="19"/>
    <x v="3"/>
    <x v="25"/>
    <x v="2"/>
    <x v="769"/>
    <x v="5"/>
    <n v="784"/>
  </r>
  <r>
    <x v="1"/>
    <x v="6"/>
    <x v="19"/>
    <x v="7"/>
    <x v="25"/>
    <x v="199"/>
    <x v="892"/>
    <x v="5"/>
    <n v="392"/>
  </r>
  <r>
    <x v="1"/>
    <x v="6"/>
    <x v="19"/>
    <x v="1"/>
    <x v="26"/>
    <x v="59"/>
    <x v="893"/>
    <x v="5"/>
    <n v="200"/>
  </r>
  <r>
    <x v="1"/>
    <x v="6"/>
    <x v="19"/>
    <x v="0"/>
    <x v="28"/>
    <x v="59"/>
    <x v="1014"/>
    <x v="5"/>
    <n v="180"/>
  </r>
  <r>
    <x v="1"/>
    <x v="7"/>
    <x v="20"/>
    <x v="0"/>
    <x v="6"/>
    <x v="382"/>
    <x v="1051"/>
    <x v="0"/>
    <n v="1428"/>
  </r>
  <r>
    <x v="1"/>
    <x v="7"/>
    <x v="20"/>
    <x v="2"/>
    <x v="7"/>
    <x v="384"/>
    <x v="1052"/>
    <x v="0"/>
    <n v="2272"/>
  </r>
  <r>
    <x v="1"/>
    <x v="7"/>
    <x v="20"/>
    <x v="0"/>
    <x v="7"/>
    <x v="494"/>
    <x v="1053"/>
    <x v="0"/>
    <n v="54080"/>
  </r>
  <r>
    <x v="1"/>
    <x v="7"/>
    <x v="20"/>
    <x v="6"/>
    <x v="7"/>
    <x v="5"/>
    <x v="1054"/>
    <x v="0"/>
    <n v="8320"/>
  </r>
  <r>
    <x v="1"/>
    <x v="7"/>
    <x v="20"/>
    <x v="3"/>
    <x v="7"/>
    <x v="495"/>
    <x v="1055"/>
    <x v="0"/>
    <n v="28800"/>
  </r>
  <r>
    <x v="1"/>
    <x v="7"/>
    <x v="20"/>
    <x v="4"/>
    <x v="7"/>
    <x v="248"/>
    <x v="460"/>
    <x v="0"/>
    <n v="38400"/>
  </r>
  <r>
    <x v="1"/>
    <x v="7"/>
    <x v="20"/>
    <x v="1"/>
    <x v="7"/>
    <x v="496"/>
    <x v="1056"/>
    <x v="0"/>
    <n v="21504"/>
  </r>
  <r>
    <x v="1"/>
    <x v="7"/>
    <x v="20"/>
    <x v="7"/>
    <x v="7"/>
    <x v="125"/>
    <x v="1057"/>
    <x v="0"/>
    <n v="9280"/>
  </r>
  <r>
    <x v="1"/>
    <x v="7"/>
    <x v="20"/>
    <x v="8"/>
    <x v="7"/>
    <x v="333"/>
    <x v="1058"/>
    <x v="0"/>
    <n v="7840"/>
  </r>
  <r>
    <x v="1"/>
    <x v="7"/>
    <x v="20"/>
    <x v="9"/>
    <x v="7"/>
    <x v="330"/>
    <x v="1059"/>
    <x v="0"/>
    <n v="4704"/>
  </r>
  <r>
    <x v="1"/>
    <x v="7"/>
    <x v="20"/>
    <x v="5"/>
    <x v="8"/>
    <x v="497"/>
    <x v="1060"/>
    <x v="1"/>
    <n v="16809"/>
  </r>
  <r>
    <x v="1"/>
    <x v="7"/>
    <x v="20"/>
    <x v="1"/>
    <x v="9"/>
    <x v="498"/>
    <x v="1061"/>
    <x v="2"/>
    <n v="35560"/>
  </r>
  <r>
    <x v="1"/>
    <x v="7"/>
    <x v="20"/>
    <x v="9"/>
    <x v="10"/>
    <x v="499"/>
    <x v="1062"/>
    <x v="2"/>
    <n v="16558.5"/>
  </r>
  <r>
    <x v="1"/>
    <x v="7"/>
    <x v="20"/>
    <x v="2"/>
    <x v="11"/>
    <x v="390"/>
    <x v="820"/>
    <x v="2"/>
    <n v="24166"/>
  </r>
  <r>
    <x v="1"/>
    <x v="7"/>
    <x v="20"/>
    <x v="0"/>
    <x v="11"/>
    <x v="500"/>
    <x v="1063"/>
    <x v="2"/>
    <n v="58867"/>
  </r>
  <r>
    <x v="1"/>
    <x v="7"/>
    <x v="20"/>
    <x v="3"/>
    <x v="11"/>
    <x v="76"/>
    <x v="1064"/>
    <x v="2"/>
    <n v="11610"/>
  </r>
  <r>
    <x v="1"/>
    <x v="7"/>
    <x v="20"/>
    <x v="4"/>
    <x v="11"/>
    <x v="501"/>
    <x v="1065"/>
    <x v="2"/>
    <n v="33669"/>
  </r>
  <r>
    <x v="1"/>
    <x v="7"/>
    <x v="20"/>
    <x v="1"/>
    <x v="11"/>
    <x v="268"/>
    <x v="1066"/>
    <x v="2"/>
    <n v="9245"/>
  </r>
  <r>
    <x v="1"/>
    <x v="7"/>
    <x v="20"/>
    <x v="7"/>
    <x v="11"/>
    <x v="502"/>
    <x v="1067"/>
    <x v="2"/>
    <n v="11653"/>
  </r>
  <r>
    <x v="1"/>
    <x v="7"/>
    <x v="20"/>
    <x v="7"/>
    <x v="13"/>
    <x v="29"/>
    <x v="33"/>
    <x v="3"/>
    <n v="1470"/>
  </r>
  <r>
    <x v="1"/>
    <x v="7"/>
    <x v="20"/>
    <x v="2"/>
    <x v="14"/>
    <x v="503"/>
    <x v="1068"/>
    <x v="3"/>
    <n v="14200"/>
  </r>
  <r>
    <x v="1"/>
    <x v="7"/>
    <x v="20"/>
    <x v="0"/>
    <x v="14"/>
    <x v="504"/>
    <x v="1069"/>
    <x v="3"/>
    <n v="23000"/>
  </r>
  <r>
    <x v="1"/>
    <x v="7"/>
    <x v="20"/>
    <x v="6"/>
    <x v="14"/>
    <x v="505"/>
    <x v="1070"/>
    <x v="3"/>
    <n v="31100"/>
  </r>
  <r>
    <x v="1"/>
    <x v="7"/>
    <x v="20"/>
    <x v="4"/>
    <x v="14"/>
    <x v="504"/>
    <x v="1069"/>
    <x v="3"/>
    <n v="23000"/>
  </r>
  <r>
    <x v="1"/>
    <x v="7"/>
    <x v="20"/>
    <x v="1"/>
    <x v="14"/>
    <x v="63"/>
    <x v="246"/>
    <x v="3"/>
    <n v="26500"/>
  </r>
  <r>
    <x v="1"/>
    <x v="7"/>
    <x v="20"/>
    <x v="7"/>
    <x v="14"/>
    <x v="506"/>
    <x v="1071"/>
    <x v="3"/>
    <n v="10900"/>
  </r>
  <r>
    <x v="1"/>
    <x v="7"/>
    <x v="20"/>
    <x v="2"/>
    <x v="15"/>
    <x v="507"/>
    <x v="1072"/>
    <x v="4"/>
    <n v="16665"/>
  </r>
  <r>
    <x v="1"/>
    <x v="7"/>
    <x v="20"/>
    <x v="0"/>
    <x v="15"/>
    <x v="508"/>
    <x v="1073"/>
    <x v="4"/>
    <n v="35805"/>
  </r>
  <r>
    <x v="1"/>
    <x v="7"/>
    <x v="20"/>
    <x v="3"/>
    <x v="15"/>
    <x v="509"/>
    <x v="1074"/>
    <x v="4"/>
    <n v="62975"/>
  </r>
  <r>
    <x v="1"/>
    <x v="7"/>
    <x v="20"/>
    <x v="4"/>
    <x v="15"/>
    <x v="164"/>
    <x v="254"/>
    <x v="4"/>
    <n v="24200"/>
  </r>
  <r>
    <x v="1"/>
    <x v="7"/>
    <x v="20"/>
    <x v="1"/>
    <x v="15"/>
    <x v="107"/>
    <x v="1075"/>
    <x v="4"/>
    <n v="2255"/>
  </r>
  <r>
    <x v="1"/>
    <x v="7"/>
    <x v="20"/>
    <x v="7"/>
    <x v="15"/>
    <x v="97"/>
    <x v="188"/>
    <x v="4"/>
    <n v="34100"/>
  </r>
  <r>
    <x v="1"/>
    <x v="7"/>
    <x v="20"/>
    <x v="8"/>
    <x v="15"/>
    <x v="234"/>
    <x v="1076"/>
    <x v="4"/>
    <n v="22165"/>
  </r>
  <r>
    <x v="1"/>
    <x v="7"/>
    <x v="20"/>
    <x v="0"/>
    <x v="16"/>
    <x v="8"/>
    <x v="999"/>
    <x v="4"/>
    <n v="5800"/>
  </r>
  <r>
    <x v="1"/>
    <x v="7"/>
    <x v="20"/>
    <x v="6"/>
    <x v="16"/>
    <x v="156"/>
    <x v="1077"/>
    <x v="4"/>
    <n v="9512"/>
  </r>
  <r>
    <x v="1"/>
    <x v="7"/>
    <x v="20"/>
    <x v="4"/>
    <x v="16"/>
    <x v="417"/>
    <x v="1078"/>
    <x v="4"/>
    <n v="5278"/>
  </r>
  <r>
    <x v="1"/>
    <x v="7"/>
    <x v="20"/>
    <x v="1"/>
    <x v="16"/>
    <x v="60"/>
    <x v="1040"/>
    <x v="4"/>
    <n v="638"/>
  </r>
  <r>
    <x v="1"/>
    <x v="7"/>
    <x v="20"/>
    <x v="9"/>
    <x v="17"/>
    <x v="141"/>
    <x v="1079"/>
    <x v="4"/>
    <n v="8880"/>
  </r>
  <r>
    <x v="1"/>
    <x v="7"/>
    <x v="20"/>
    <x v="2"/>
    <x v="18"/>
    <x v="41"/>
    <x v="707"/>
    <x v="5"/>
    <n v="7150"/>
  </r>
  <r>
    <x v="1"/>
    <x v="7"/>
    <x v="20"/>
    <x v="0"/>
    <x v="18"/>
    <x v="455"/>
    <x v="963"/>
    <x v="5"/>
    <n v="52000"/>
  </r>
  <r>
    <x v="1"/>
    <x v="7"/>
    <x v="20"/>
    <x v="3"/>
    <x v="18"/>
    <x v="15"/>
    <x v="1080"/>
    <x v="5"/>
    <n v="50700"/>
  </r>
  <r>
    <x v="1"/>
    <x v="7"/>
    <x v="20"/>
    <x v="4"/>
    <x v="18"/>
    <x v="38"/>
    <x v="1081"/>
    <x v="5"/>
    <n v="325"/>
  </r>
  <r>
    <x v="1"/>
    <x v="7"/>
    <x v="20"/>
    <x v="1"/>
    <x v="18"/>
    <x v="94"/>
    <x v="1082"/>
    <x v="5"/>
    <n v="5200"/>
  </r>
  <r>
    <x v="1"/>
    <x v="7"/>
    <x v="20"/>
    <x v="7"/>
    <x v="18"/>
    <x v="510"/>
    <x v="1083"/>
    <x v="5"/>
    <n v="9295"/>
  </r>
  <r>
    <x v="1"/>
    <x v="7"/>
    <x v="20"/>
    <x v="8"/>
    <x v="18"/>
    <x v="511"/>
    <x v="1084"/>
    <x v="5"/>
    <n v="2730"/>
  </r>
  <r>
    <x v="1"/>
    <x v="7"/>
    <x v="20"/>
    <x v="9"/>
    <x v="18"/>
    <x v="400"/>
    <x v="1085"/>
    <x v="5"/>
    <n v="24765"/>
  </r>
  <r>
    <x v="1"/>
    <x v="7"/>
    <x v="20"/>
    <x v="6"/>
    <x v="19"/>
    <x v="94"/>
    <x v="710"/>
    <x v="5"/>
    <n v="5600"/>
  </r>
  <r>
    <x v="1"/>
    <x v="7"/>
    <x v="20"/>
    <x v="9"/>
    <x v="19"/>
    <x v="157"/>
    <x v="1086"/>
    <x v="5"/>
    <n v="16800"/>
  </r>
  <r>
    <x v="1"/>
    <x v="7"/>
    <x v="20"/>
    <x v="2"/>
    <x v="20"/>
    <x v="59"/>
    <x v="1007"/>
    <x v="5"/>
    <n v="150"/>
  </r>
  <r>
    <x v="1"/>
    <x v="7"/>
    <x v="20"/>
    <x v="0"/>
    <x v="20"/>
    <x v="512"/>
    <x v="1087"/>
    <x v="5"/>
    <n v="34725"/>
  </r>
  <r>
    <x v="1"/>
    <x v="7"/>
    <x v="20"/>
    <x v="3"/>
    <x v="20"/>
    <x v="88"/>
    <x v="500"/>
    <x v="5"/>
    <n v="27000"/>
  </r>
  <r>
    <x v="1"/>
    <x v="7"/>
    <x v="20"/>
    <x v="1"/>
    <x v="20"/>
    <x v="199"/>
    <x v="848"/>
    <x v="5"/>
    <n v="300"/>
  </r>
  <r>
    <x v="1"/>
    <x v="7"/>
    <x v="20"/>
    <x v="7"/>
    <x v="20"/>
    <x v="142"/>
    <x v="272"/>
    <x v="5"/>
    <n v="2475"/>
  </r>
  <r>
    <x v="1"/>
    <x v="7"/>
    <x v="20"/>
    <x v="9"/>
    <x v="20"/>
    <x v="513"/>
    <x v="1088"/>
    <x v="5"/>
    <n v="13650"/>
  </r>
  <r>
    <x v="1"/>
    <x v="7"/>
    <x v="20"/>
    <x v="1"/>
    <x v="22"/>
    <x v="2"/>
    <x v="69"/>
    <x v="5"/>
    <n v="656"/>
  </r>
  <r>
    <x v="1"/>
    <x v="7"/>
    <x v="20"/>
    <x v="2"/>
    <x v="23"/>
    <x v="514"/>
    <x v="1089"/>
    <x v="5"/>
    <n v="7990"/>
  </r>
  <r>
    <x v="1"/>
    <x v="7"/>
    <x v="20"/>
    <x v="3"/>
    <x v="23"/>
    <x v="198"/>
    <x v="1012"/>
    <x v="5"/>
    <n v="1870"/>
  </r>
  <r>
    <x v="1"/>
    <x v="7"/>
    <x v="20"/>
    <x v="1"/>
    <x v="23"/>
    <x v="7"/>
    <x v="1090"/>
    <x v="5"/>
    <n v="1700"/>
  </r>
  <r>
    <x v="1"/>
    <x v="7"/>
    <x v="20"/>
    <x v="0"/>
    <x v="24"/>
    <x v="200"/>
    <x v="1091"/>
    <x v="5"/>
    <n v="1118"/>
  </r>
  <r>
    <x v="1"/>
    <x v="7"/>
    <x v="20"/>
    <x v="7"/>
    <x v="24"/>
    <x v="158"/>
    <x v="29"/>
    <x v="5"/>
    <n v="9030"/>
  </r>
  <r>
    <x v="1"/>
    <x v="7"/>
    <x v="20"/>
    <x v="0"/>
    <x v="25"/>
    <x v="38"/>
    <x v="304"/>
    <x v="5"/>
    <n v="490"/>
  </r>
  <r>
    <x v="1"/>
    <x v="7"/>
    <x v="20"/>
    <x v="3"/>
    <x v="25"/>
    <x v="57"/>
    <x v="1092"/>
    <x v="5"/>
    <n v="882"/>
  </r>
  <r>
    <x v="1"/>
    <x v="7"/>
    <x v="20"/>
    <x v="7"/>
    <x v="25"/>
    <x v="45"/>
    <x v="335"/>
    <x v="5"/>
    <n v="98"/>
  </r>
  <r>
    <x v="1"/>
    <x v="7"/>
    <x v="20"/>
    <x v="1"/>
    <x v="26"/>
    <x v="45"/>
    <x v="77"/>
    <x v="5"/>
    <n v="100"/>
  </r>
  <r>
    <x v="1"/>
    <x v="7"/>
    <x v="20"/>
    <x v="0"/>
    <x v="28"/>
    <x v="143"/>
    <x v="1093"/>
    <x v="5"/>
    <n v="270"/>
  </r>
  <r>
    <x v="1"/>
    <x v="7"/>
    <x v="21"/>
    <x v="0"/>
    <x v="6"/>
    <x v="515"/>
    <x v="1094"/>
    <x v="0"/>
    <n v="1344"/>
  </r>
  <r>
    <x v="1"/>
    <x v="7"/>
    <x v="21"/>
    <x v="2"/>
    <x v="7"/>
    <x v="3"/>
    <x v="166"/>
    <x v="0"/>
    <n v="1600"/>
  </r>
  <r>
    <x v="1"/>
    <x v="7"/>
    <x v="21"/>
    <x v="0"/>
    <x v="7"/>
    <x v="516"/>
    <x v="1095"/>
    <x v="0"/>
    <n v="52256"/>
  </r>
  <r>
    <x v="1"/>
    <x v="7"/>
    <x v="21"/>
    <x v="6"/>
    <x v="7"/>
    <x v="517"/>
    <x v="1096"/>
    <x v="0"/>
    <n v="11232"/>
  </r>
  <r>
    <x v="1"/>
    <x v="7"/>
    <x v="21"/>
    <x v="3"/>
    <x v="7"/>
    <x v="211"/>
    <x v="1097"/>
    <x v="0"/>
    <n v="37056"/>
  </r>
  <r>
    <x v="1"/>
    <x v="7"/>
    <x v="21"/>
    <x v="4"/>
    <x v="7"/>
    <x v="518"/>
    <x v="1098"/>
    <x v="0"/>
    <n v="34624"/>
  </r>
  <r>
    <x v="1"/>
    <x v="7"/>
    <x v="21"/>
    <x v="1"/>
    <x v="7"/>
    <x v="451"/>
    <x v="1099"/>
    <x v="0"/>
    <n v="19584"/>
  </r>
  <r>
    <x v="1"/>
    <x v="7"/>
    <x v="21"/>
    <x v="7"/>
    <x v="7"/>
    <x v="519"/>
    <x v="1100"/>
    <x v="0"/>
    <n v="11616"/>
  </r>
  <r>
    <x v="1"/>
    <x v="7"/>
    <x v="21"/>
    <x v="8"/>
    <x v="7"/>
    <x v="341"/>
    <x v="1101"/>
    <x v="0"/>
    <n v="6560"/>
  </r>
  <r>
    <x v="1"/>
    <x v="7"/>
    <x v="21"/>
    <x v="9"/>
    <x v="7"/>
    <x v="55"/>
    <x v="683"/>
    <x v="0"/>
    <n v="3840"/>
  </r>
  <r>
    <x v="1"/>
    <x v="7"/>
    <x v="21"/>
    <x v="5"/>
    <x v="8"/>
    <x v="122"/>
    <x v="1102"/>
    <x v="1"/>
    <n v="14820"/>
  </r>
  <r>
    <x v="1"/>
    <x v="7"/>
    <x v="21"/>
    <x v="1"/>
    <x v="9"/>
    <x v="520"/>
    <x v="1103"/>
    <x v="2"/>
    <n v="36920"/>
  </r>
  <r>
    <x v="1"/>
    <x v="7"/>
    <x v="21"/>
    <x v="2"/>
    <x v="11"/>
    <x v="413"/>
    <x v="863"/>
    <x v="2"/>
    <n v="25929"/>
  </r>
  <r>
    <x v="1"/>
    <x v="7"/>
    <x v="21"/>
    <x v="0"/>
    <x v="11"/>
    <x v="521"/>
    <x v="1104"/>
    <x v="2"/>
    <n v="64070"/>
  </r>
  <r>
    <x v="1"/>
    <x v="7"/>
    <x v="21"/>
    <x v="3"/>
    <x v="11"/>
    <x v="458"/>
    <x v="1105"/>
    <x v="2"/>
    <n v="8686"/>
  </r>
  <r>
    <x v="1"/>
    <x v="7"/>
    <x v="21"/>
    <x v="4"/>
    <x v="11"/>
    <x v="111"/>
    <x v="690"/>
    <x v="2"/>
    <n v="41280"/>
  </r>
  <r>
    <x v="1"/>
    <x v="7"/>
    <x v="21"/>
    <x v="1"/>
    <x v="11"/>
    <x v="150"/>
    <x v="1106"/>
    <x v="2"/>
    <n v="10965"/>
  </r>
  <r>
    <x v="1"/>
    <x v="7"/>
    <x v="21"/>
    <x v="7"/>
    <x v="11"/>
    <x v="315"/>
    <x v="629"/>
    <x v="2"/>
    <n v="12771"/>
  </r>
  <r>
    <x v="1"/>
    <x v="7"/>
    <x v="21"/>
    <x v="9"/>
    <x v="10"/>
    <x v="323"/>
    <x v="1107"/>
    <x v="2"/>
    <n v="14442"/>
  </r>
  <r>
    <x v="1"/>
    <x v="7"/>
    <x v="21"/>
    <x v="2"/>
    <x v="14"/>
    <x v="489"/>
    <x v="1108"/>
    <x v="3"/>
    <n v="11850"/>
  </r>
  <r>
    <x v="1"/>
    <x v="7"/>
    <x v="21"/>
    <x v="0"/>
    <x v="14"/>
    <x v="214"/>
    <x v="695"/>
    <x v="3"/>
    <n v="21500"/>
  </r>
  <r>
    <x v="1"/>
    <x v="7"/>
    <x v="21"/>
    <x v="6"/>
    <x v="14"/>
    <x v="321"/>
    <x v="640"/>
    <x v="3"/>
    <n v="36000"/>
  </r>
  <r>
    <x v="1"/>
    <x v="7"/>
    <x v="21"/>
    <x v="4"/>
    <x v="14"/>
    <x v="122"/>
    <x v="1033"/>
    <x v="3"/>
    <n v="19000"/>
  </r>
  <r>
    <x v="1"/>
    <x v="7"/>
    <x v="21"/>
    <x v="1"/>
    <x v="14"/>
    <x v="522"/>
    <x v="1109"/>
    <x v="3"/>
    <n v="30250"/>
  </r>
  <r>
    <x v="1"/>
    <x v="7"/>
    <x v="21"/>
    <x v="7"/>
    <x v="13"/>
    <x v="515"/>
    <x v="1110"/>
    <x v="3"/>
    <n v="2352"/>
  </r>
  <r>
    <x v="1"/>
    <x v="7"/>
    <x v="21"/>
    <x v="7"/>
    <x v="14"/>
    <x v="493"/>
    <x v="1111"/>
    <x v="3"/>
    <n v="9400"/>
  </r>
  <r>
    <x v="1"/>
    <x v="7"/>
    <x v="21"/>
    <x v="2"/>
    <x v="15"/>
    <x v="266"/>
    <x v="1112"/>
    <x v="4"/>
    <n v="17160"/>
  </r>
  <r>
    <x v="1"/>
    <x v="7"/>
    <x v="21"/>
    <x v="0"/>
    <x v="15"/>
    <x v="186"/>
    <x v="436"/>
    <x v="4"/>
    <n v="34650"/>
  </r>
  <r>
    <x v="1"/>
    <x v="7"/>
    <x v="21"/>
    <x v="0"/>
    <x v="16"/>
    <x v="94"/>
    <x v="123"/>
    <x v="4"/>
    <n v="4640"/>
  </r>
  <r>
    <x v="1"/>
    <x v="7"/>
    <x v="21"/>
    <x v="6"/>
    <x v="16"/>
    <x v="32"/>
    <x v="748"/>
    <x v="4"/>
    <n v="8120"/>
  </r>
  <r>
    <x v="1"/>
    <x v="7"/>
    <x v="21"/>
    <x v="3"/>
    <x v="15"/>
    <x v="151"/>
    <x v="1113"/>
    <x v="4"/>
    <n v="57255"/>
  </r>
  <r>
    <x v="1"/>
    <x v="7"/>
    <x v="21"/>
    <x v="4"/>
    <x v="15"/>
    <x v="124"/>
    <x v="1038"/>
    <x v="4"/>
    <n v="30800"/>
  </r>
  <r>
    <x v="1"/>
    <x v="7"/>
    <x v="21"/>
    <x v="4"/>
    <x v="16"/>
    <x v="74"/>
    <x v="960"/>
    <x v="4"/>
    <n v="3480"/>
  </r>
  <r>
    <x v="1"/>
    <x v="7"/>
    <x v="21"/>
    <x v="1"/>
    <x v="15"/>
    <x v="511"/>
    <x v="1114"/>
    <x v="4"/>
    <n v="2310"/>
  </r>
  <r>
    <x v="1"/>
    <x v="7"/>
    <x v="21"/>
    <x v="1"/>
    <x v="16"/>
    <x v="129"/>
    <x v="1115"/>
    <x v="4"/>
    <n v="696"/>
  </r>
  <r>
    <x v="1"/>
    <x v="7"/>
    <x v="21"/>
    <x v="7"/>
    <x v="15"/>
    <x v="523"/>
    <x v="1116"/>
    <x v="4"/>
    <n v="34980"/>
  </r>
  <r>
    <x v="1"/>
    <x v="7"/>
    <x v="21"/>
    <x v="8"/>
    <x v="15"/>
    <x v="524"/>
    <x v="1117"/>
    <x v="4"/>
    <n v="21230"/>
  </r>
  <r>
    <x v="1"/>
    <x v="7"/>
    <x v="21"/>
    <x v="9"/>
    <x v="17"/>
    <x v="525"/>
    <x v="1118"/>
    <x v="4"/>
    <n v="7980"/>
  </r>
  <r>
    <x v="1"/>
    <x v="7"/>
    <x v="21"/>
    <x v="2"/>
    <x v="18"/>
    <x v="526"/>
    <x v="1119"/>
    <x v="5"/>
    <n v="6695"/>
  </r>
  <r>
    <x v="1"/>
    <x v="7"/>
    <x v="21"/>
    <x v="2"/>
    <x v="20"/>
    <x v="527"/>
    <x v="1120"/>
    <x v="5"/>
    <n v="149.99999999999997"/>
  </r>
  <r>
    <x v="1"/>
    <x v="7"/>
    <x v="21"/>
    <x v="2"/>
    <x v="23"/>
    <x v="460"/>
    <x v="1121"/>
    <x v="5"/>
    <n v="8330"/>
  </r>
  <r>
    <x v="1"/>
    <x v="7"/>
    <x v="21"/>
    <x v="0"/>
    <x v="18"/>
    <x v="221"/>
    <x v="1122"/>
    <x v="5"/>
    <n v="47450"/>
  </r>
  <r>
    <x v="1"/>
    <x v="7"/>
    <x v="21"/>
    <x v="0"/>
    <x v="20"/>
    <x v="88"/>
    <x v="500"/>
    <x v="5"/>
    <n v="27000"/>
  </r>
  <r>
    <x v="1"/>
    <x v="7"/>
    <x v="21"/>
    <x v="0"/>
    <x v="24"/>
    <x v="200"/>
    <x v="1091"/>
    <x v="5"/>
    <n v="1118"/>
  </r>
  <r>
    <x v="1"/>
    <x v="7"/>
    <x v="21"/>
    <x v="0"/>
    <x v="28"/>
    <x v="143"/>
    <x v="1093"/>
    <x v="5"/>
    <n v="270"/>
  </r>
  <r>
    <x v="1"/>
    <x v="7"/>
    <x v="21"/>
    <x v="0"/>
    <x v="25"/>
    <x v="527"/>
    <x v="1123"/>
    <x v="5"/>
    <n v="195.99999999999997"/>
  </r>
  <r>
    <x v="1"/>
    <x v="7"/>
    <x v="21"/>
    <x v="6"/>
    <x v="19"/>
    <x v="65"/>
    <x v="597"/>
    <x v="5"/>
    <n v="5250"/>
  </r>
  <r>
    <x v="1"/>
    <x v="7"/>
    <x v="21"/>
    <x v="3"/>
    <x v="18"/>
    <x v="528"/>
    <x v="1124"/>
    <x v="5"/>
    <n v="52325"/>
  </r>
  <r>
    <x v="1"/>
    <x v="7"/>
    <x v="21"/>
    <x v="3"/>
    <x v="20"/>
    <x v="185"/>
    <x v="929"/>
    <x v="5"/>
    <n v="26250"/>
  </r>
  <r>
    <x v="1"/>
    <x v="7"/>
    <x v="21"/>
    <x v="3"/>
    <x v="23"/>
    <x v="75"/>
    <x v="1050"/>
    <x v="5"/>
    <n v="1785"/>
  </r>
  <r>
    <x v="1"/>
    <x v="7"/>
    <x v="21"/>
    <x v="3"/>
    <x v="25"/>
    <x v="200"/>
    <x v="1125"/>
    <x v="5"/>
    <n v="1274"/>
  </r>
  <r>
    <x v="1"/>
    <x v="7"/>
    <x v="21"/>
    <x v="4"/>
    <x v="18"/>
    <x v="143"/>
    <x v="1126"/>
    <x v="5"/>
    <n v="195"/>
  </r>
  <r>
    <x v="1"/>
    <x v="7"/>
    <x v="21"/>
    <x v="4"/>
    <x v="23"/>
    <x v="129"/>
    <x v="277"/>
    <x v="5"/>
    <n v="1020"/>
  </r>
  <r>
    <x v="1"/>
    <x v="7"/>
    <x v="21"/>
    <x v="1"/>
    <x v="18"/>
    <x v="143"/>
    <x v="1126"/>
    <x v="5"/>
    <n v="195"/>
  </r>
  <r>
    <x v="1"/>
    <x v="7"/>
    <x v="21"/>
    <x v="1"/>
    <x v="20"/>
    <x v="28"/>
    <x v="32"/>
    <x v="5"/>
    <n v="0"/>
  </r>
  <r>
    <x v="1"/>
    <x v="7"/>
    <x v="21"/>
    <x v="1"/>
    <x v="22"/>
    <x v="60"/>
    <x v="715"/>
    <x v="5"/>
    <n v="902"/>
  </r>
  <r>
    <x v="1"/>
    <x v="7"/>
    <x v="21"/>
    <x v="1"/>
    <x v="23"/>
    <x v="53"/>
    <x v="1127"/>
    <x v="5"/>
    <n v="2975"/>
  </r>
  <r>
    <x v="1"/>
    <x v="7"/>
    <x v="21"/>
    <x v="1"/>
    <x v="26"/>
    <x v="45"/>
    <x v="77"/>
    <x v="5"/>
    <n v="100"/>
  </r>
  <r>
    <x v="1"/>
    <x v="7"/>
    <x v="21"/>
    <x v="7"/>
    <x v="18"/>
    <x v="343"/>
    <x v="703"/>
    <x v="5"/>
    <n v="12870"/>
  </r>
  <r>
    <x v="1"/>
    <x v="7"/>
    <x v="21"/>
    <x v="7"/>
    <x v="20"/>
    <x v="62"/>
    <x v="138"/>
    <x v="5"/>
    <n v="1800"/>
  </r>
  <r>
    <x v="1"/>
    <x v="7"/>
    <x v="21"/>
    <x v="7"/>
    <x v="24"/>
    <x v="55"/>
    <x v="105"/>
    <x v="5"/>
    <n v="10320"/>
  </r>
  <r>
    <x v="1"/>
    <x v="7"/>
    <x v="21"/>
    <x v="7"/>
    <x v="25"/>
    <x v="527"/>
    <x v="1123"/>
    <x v="5"/>
    <n v="195.99999999999997"/>
  </r>
  <r>
    <x v="1"/>
    <x v="7"/>
    <x v="21"/>
    <x v="8"/>
    <x v="18"/>
    <x v="171"/>
    <x v="924"/>
    <x v="5"/>
    <n v="3055"/>
  </r>
  <r>
    <x v="1"/>
    <x v="7"/>
    <x v="21"/>
    <x v="9"/>
    <x v="18"/>
    <x v="31"/>
    <x v="1128"/>
    <x v="5"/>
    <n v="22100"/>
  </r>
  <r>
    <x v="1"/>
    <x v="7"/>
    <x v="21"/>
    <x v="9"/>
    <x v="19"/>
    <x v="146"/>
    <x v="847"/>
    <x v="5"/>
    <n v="15400"/>
  </r>
  <r>
    <x v="1"/>
    <x v="7"/>
    <x v="21"/>
    <x v="9"/>
    <x v="20"/>
    <x v="529"/>
    <x v="1129"/>
    <x v="5"/>
    <n v="14775"/>
  </r>
  <r>
    <x v="1"/>
    <x v="7"/>
    <x v="22"/>
    <x v="0"/>
    <x v="6"/>
    <x v="17"/>
    <x v="1130"/>
    <x v="0"/>
    <n v="1484"/>
  </r>
  <r>
    <x v="1"/>
    <x v="7"/>
    <x v="22"/>
    <x v="2"/>
    <x v="7"/>
    <x v="17"/>
    <x v="1131"/>
    <x v="0"/>
    <n v="1696"/>
  </r>
  <r>
    <x v="1"/>
    <x v="7"/>
    <x v="22"/>
    <x v="0"/>
    <x v="7"/>
    <x v="530"/>
    <x v="1132"/>
    <x v="0"/>
    <n v="50592"/>
  </r>
  <r>
    <x v="1"/>
    <x v="7"/>
    <x v="22"/>
    <x v="6"/>
    <x v="7"/>
    <x v="531"/>
    <x v="1133"/>
    <x v="0"/>
    <n v="10272"/>
  </r>
  <r>
    <x v="1"/>
    <x v="7"/>
    <x v="22"/>
    <x v="3"/>
    <x v="7"/>
    <x v="532"/>
    <x v="1134"/>
    <x v="0"/>
    <n v="38784"/>
  </r>
  <r>
    <x v="1"/>
    <x v="7"/>
    <x v="22"/>
    <x v="4"/>
    <x v="7"/>
    <x v="533"/>
    <x v="1135"/>
    <x v="0"/>
    <n v="41664"/>
  </r>
  <r>
    <x v="1"/>
    <x v="7"/>
    <x v="22"/>
    <x v="1"/>
    <x v="7"/>
    <x v="496"/>
    <x v="1056"/>
    <x v="0"/>
    <n v="21504"/>
  </r>
  <r>
    <x v="1"/>
    <x v="7"/>
    <x v="22"/>
    <x v="7"/>
    <x v="7"/>
    <x v="375"/>
    <x v="1136"/>
    <x v="0"/>
    <n v="12320"/>
  </r>
  <r>
    <x v="1"/>
    <x v="7"/>
    <x v="22"/>
    <x v="8"/>
    <x v="7"/>
    <x v="534"/>
    <x v="1137"/>
    <x v="0"/>
    <n v="5984"/>
  </r>
  <r>
    <x v="1"/>
    <x v="7"/>
    <x v="22"/>
    <x v="9"/>
    <x v="7"/>
    <x v="19"/>
    <x v="345"/>
    <x v="0"/>
    <n v="4640"/>
  </r>
  <r>
    <x v="1"/>
    <x v="7"/>
    <x v="22"/>
    <x v="5"/>
    <x v="8"/>
    <x v="31"/>
    <x v="414"/>
    <x v="1"/>
    <n v="13260"/>
  </r>
  <r>
    <x v="1"/>
    <x v="7"/>
    <x v="22"/>
    <x v="2"/>
    <x v="11"/>
    <x v="535"/>
    <x v="1138"/>
    <x v="2"/>
    <n v="25972"/>
  </r>
  <r>
    <x v="1"/>
    <x v="7"/>
    <x v="22"/>
    <x v="0"/>
    <x v="11"/>
    <x v="536"/>
    <x v="1139"/>
    <x v="2"/>
    <n v="63253"/>
  </r>
  <r>
    <x v="1"/>
    <x v="7"/>
    <x v="22"/>
    <x v="3"/>
    <x v="11"/>
    <x v="5"/>
    <x v="455"/>
    <x v="2"/>
    <n v="11180"/>
  </r>
  <r>
    <x v="1"/>
    <x v="7"/>
    <x v="22"/>
    <x v="4"/>
    <x v="11"/>
    <x v="537"/>
    <x v="1140"/>
    <x v="2"/>
    <n v="36550"/>
  </r>
  <r>
    <x v="1"/>
    <x v="7"/>
    <x v="22"/>
    <x v="1"/>
    <x v="9"/>
    <x v="317"/>
    <x v="1141"/>
    <x v="2"/>
    <n v="34400"/>
  </r>
  <r>
    <x v="1"/>
    <x v="7"/>
    <x v="22"/>
    <x v="1"/>
    <x v="11"/>
    <x v="301"/>
    <x v="1142"/>
    <x v="2"/>
    <n v="15437"/>
  </r>
  <r>
    <x v="1"/>
    <x v="7"/>
    <x v="22"/>
    <x v="7"/>
    <x v="11"/>
    <x v="538"/>
    <x v="1143"/>
    <x v="2"/>
    <n v="15523"/>
  </r>
  <r>
    <x v="1"/>
    <x v="7"/>
    <x v="22"/>
    <x v="9"/>
    <x v="10"/>
    <x v="184"/>
    <x v="1144"/>
    <x v="2"/>
    <n v="9337.5"/>
  </r>
  <r>
    <x v="1"/>
    <x v="7"/>
    <x v="22"/>
    <x v="2"/>
    <x v="14"/>
    <x v="534"/>
    <x v="1145"/>
    <x v="3"/>
    <n v="9350"/>
  </r>
  <r>
    <x v="1"/>
    <x v="7"/>
    <x v="22"/>
    <x v="0"/>
    <x v="14"/>
    <x v="14"/>
    <x v="307"/>
    <x v="3"/>
    <n v="17750"/>
  </r>
  <r>
    <x v="1"/>
    <x v="7"/>
    <x v="22"/>
    <x v="6"/>
    <x v="14"/>
    <x v="186"/>
    <x v="309"/>
    <x v="3"/>
    <n v="31500"/>
  </r>
  <r>
    <x v="1"/>
    <x v="7"/>
    <x v="22"/>
    <x v="4"/>
    <x v="14"/>
    <x v="504"/>
    <x v="1069"/>
    <x v="3"/>
    <n v="23000"/>
  </r>
  <r>
    <x v="1"/>
    <x v="7"/>
    <x v="22"/>
    <x v="1"/>
    <x v="14"/>
    <x v="456"/>
    <x v="1146"/>
    <x v="3"/>
    <n v="33250"/>
  </r>
  <r>
    <x v="1"/>
    <x v="7"/>
    <x v="22"/>
    <x v="7"/>
    <x v="13"/>
    <x v="107"/>
    <x v="1147"/>
    <x v="3"/>
    <n v="2009"/>
  </r>
  <r>
    <x v="1"/>
    <x v="7"/>
    <x v="22"/>
    <x v="7"/>
    <x v="14"/>
    <x v="539"/>
    <x v="1148"/>
    <x v="3"/>
    <n v="9450"/>
  </r>
  <r>
    <x v="1"/>
    <x v="7"/>
    <x v="22"/>
    <x v="2"/>
    <x v="15"/>
    <x v="447"/>
    <x v="1149"/>
    <x v="4"/>
    <n v="15510"/>
  </r>
  <r>
    <x v="1"/>
    <x v="7"/>
    <x v="22"/>
    <x v="0"/>
    <x v="15"/>
    <x v="97"/>
    <x v="188"/>
    <x v="4"/>
    <n v="34100"/>
  </r>
  <r>
    <x v="1"/>
    <x v="7"/>
    <x v="22"/>
    <x v="0"/>
    <x v="16"/>
    <x v="179"/>
    <x v="1150"/>
    <x v="4"/>
    <n v="4930"/>
  </r>
  <r>
    <x v="1"/>
    <x v="7"/>
    <x v="22"/>
    <x v="6"/>
    <x v="16"/>
    <x v="41"/>
    <x v="377"/>
    <x v="4"/>
    <n v="6380"/>
  </r>
  <r>
    <x v="1"/>
    <x v="7"/>
    <x v="22"/>
    <x v="3"/>
    <x v="15"/>
    <x v="540"/>
    <x v="1151"/>
    <x v="4"/>
    <n v="54230"/>
  </r>
  <r>
    <x v="1"/>
    <x v="7"/>
    <x v="22"/>
    <x v="4"/>
    <x v="15"/>
    <x v="541"/>
    <x v="1152"/>
    <x v="4"/>
    <n v="25245"/>
  </r>
  <r>
    <x v="1"/>
    <x v="7"/>
    <x v="22"/>
    <x v="4"/>
    <x v="16"/>
    <x v="94"/>
    <x v="123"/>
    <x v="4"/>
    <n v="4640"/>
  </r>
  <r>
    <x v="1"/>
    <x v="7"/>
    <x v="22"/>
    <x v="1"/>
    <x v="15"/>
    <x v="53"/>
    <x v="1153"/>
    <x v="4"/>
    <n v="1925"/>
  </r>
  <r>
    <x v="1"/>
    <x v="7"/>
    <x v="22"/>
    <x v="1"/>
    <x v="16"/>
    <x v="0"/>
    <x v="1001"/>
    <x v="4"/>
    <n v="580"/>
  </r>
  <r>
    <x v="1"/>
    <x v="7"/>
    <x v="22"/>
    <x v="7"/>
    <x v="15"/>
    <x v="522"/>
    <x v="1154"/>
    <x v="4"/>
    <n v="33275"/>
  </r>
  <r>
    <x v="1"/>
    <x v="7"/>
    <x v="22"/>
    <x v="8"/>
    <x v="15"/>
    <x v="542"/>
    <x v="1155"/>
    <x v="4"/>
    <n v="7205"/>
  </r>
  <r>
    <x v="1"/>
    <x v="7"/>
    <x v="22"/>
    <x v="9"/>
    <x v="17"/>
    <x v="479"/>
    <x v="1156"/>
    <x v="4"/>
    <n v="6780"/>
  </r>
  <r>
    <x v="1"/>
    <x v="7"/>
    <x v="22"/>
    <x v="2"/>
    <x v="18"/>
    <x v="328"/>
    <x v="657"/>
    <x v="5"/>
    <n v="6955"/>
  </r>
  <r>
    <x v="1"/>
    <x v="7"/>
    <x v="22"/>
    <x v="2"/>
    <x v="20"/>
    <x v="59"/>
    <x v="1007"/>
    <x v="5"/>
    <n v="150"/>
  </r>
  <r>
    <x v="1"/>
    <x v="7"/>
    <x v="22"/>
    <x v="2"/>
    <x v="23"/>
    <x v="8"/>
    <x v="1157"/>
    <x v="5"/>
    <n v="8500"/>
  </r>
  <r>
    <x v="1"/>
    <x v="7"/>
    <x v="22"/>
    <x v="0"/>
    <x v="18"/>
    <x v="543"/>
    <x v="1158"/>
    <x v="5"/>
    <n v="36985"/>
  </r>
  <r>
    <x v="1"/>
    <x v="7"/>
    <x v="22"/>
    <x v="0"/>
    <x v="20"/>
    <x v="316"/>
    <x v="1159"/>
    <x v="5"/>
    <n v="24750"/>
  </r>
  <r>
    <x v="1"/>
    <x v="7"/>
    <x v="22"/>
    <x v="0"/>
    <x v="24"/>
    <x v="283"/>
    <x v="1160"/>
    <x v="5"/>
    <n v="1548"/>
  </r>
  <r>
    <x v="1"/>
    <x v="7"/>
    <x v="22"/>
    <x v="0"/>
    <x v="28"/>
    <x v="38"/>
    <x v="1161"/>
    <x v="5"/>
    <n v="450"/>
  </r>
  <r>
    <x v="1"/>
    <x v="7"/>
    <x v="22"/>
    <x v="0"/>
    <x v="25"/>
    <x v="199"/>
    <x v="892"/>
    <x v="5"/>
    <n v="392"/>
  </r>
  <r>
    <x v="1"/>
    <x v="7"/>
    <x v="22"/>
    <x v="6"/>
    <x v="19"/>
    <x v="74"/>
    <x v="204"/>
    <x v="5"/>
    <n v="4200"/>
  </r>
  <r>
    <x v="1"/>
    <x v="7"/>
    <x v="22"/>
    <x v="3"/>
    <x v="18"/>
    <x v="544"/>
    <x v="1162"/>
    <x v="5"/>
    <n v="51415"/>
  </r>
  <r>
    <x v="1"/>
    <x v="7"/>
    <x v="22"/>
    <x v="3"/>
    <x v="20"/>
    <x v="517"/>
    <x v="1163"/>
    <x v="5"/>
    <n v="26325"/>
  </r>
  <r>
    <x v="1"/>
    <x v="7"/>
    <x v="22"/>
    <x v="3"/>
    <x v="23"/>
    <x v="198"/>
    <x v="1012"/>
    <x v="5"/>
    <n v="1870"/>
  </r>
  <r>
    <x v="1"/>
    <x v="7"/>
    <x v="22"/>
    <x v="3"/>
    <x v="25"/>
    <x v="2"/>
    <x v="769"/>
    <x v="5"/>
    <n v="784"/>
  </r>
  <r>
    <x v="1"/>
    <x v="7"/>
    <x v="22"/>
    <x v="4"/>
    <x v="18"/>
    <x v="38"/>
    <x v="1081"/>
    <x v="5"/>
    <n v="325"/>
  </r>
  <r>
    <x v="1"/>
    <x v="7"/>
    <x v="22"/>
    <x v="4"/>
    <x v="23"/>
    <x v="0"/>
    <x v="1164"/>
    <x v="5"/>
    <n v="850"/>
  </r>
  <r>
    <x v="1"/>
    <x v="7"/>
    <x v="22"/>
    <x v="1"/>
    <x v="18"/>
    <x v="104"/>
    <x v="1045"/>
    <x v="5"/>
    <n v="6240"/>
  </r>
  <r>
    <x v="1"/>
    <x v="7"/>
    <x v="22"/>
    <x v="1"/>
    <x v="20"/>
    <x v="28"/>
    <x v="32"/>
    <x v="5"/>
    <n v="0"/>
  </r>
  <r>
    <x v="1"/>
    <x v="7"/>
    <x v="22"/>
    <x v="1"/>
    <x v="22"/>
    <x v="61"/>
    <x v="1165"/>
    <x v="5"/>
    <n v="1148"/>
  </r>
  <r>
    <x v="1"/>
    <x v="7"/>
    <x v="22"/>
    <x v="1"/>
    <x v="23"/>
    <x v="202"/>
    <x v="1166"/>
    <x v="5"/>
    <n v="3060"/>
  </r>
  <r>
    <x v="1"/>
    <x v="7"/>
    <x v="22"/>
    <x v="1"/>
    <x v="26"/>
    <x v="45"/>
    <x v="77"/>
    <x v="5"/>
    <n v="100"/>
  </r>
  <r>
    <x v="1"/>
    <x v="7"/>
    <x v="22"/>
    <x v="7"/>
    <x v="18"/>
    <x v="457"/>
    <x v="966"/>
    <x v="5"/>
    <n v="9165"/>
  </r>
  <r>
    <x v="1"/>
    <x v="7"/>
    <x v="22"/>
    <x v="7"/>
    <x v="20"/>
    <x v="48"/>
    <x v="714"/>
    <x v="5"/>
    <n v="1875"/>
  </r>
  <r>
    <x v="1"/>
    <x v="7"/>
    <x v="22"/>
    <x v="7"/>
    <x v="24"/>
    <x v="545"/>
    <x v="1167"/>
    <x v="5"/>
    <n v="10578"/>
  </r>
  <r>
    <x v="1"/>
    <x v="7"/>
    <x v="22"/>
    <x v="7"/>
    <x v="25"/>
    <x v="143"/>
    <x v="215"/>
    <x v="5"/>
    <n v="294"/>
  </r>
  <r>
    <x v="1"/>
    <x v="7"/>
    <x v="22"/>
    <x v="8"/>
    <x v="18"/>
    <x v="546"/>
    <x v="1168"/>
    <x v="5"/>
    <n v="6305"/>
  </r>
  <r>
    <x v="1"/>
    <x v="7"/>
    <x v="22"/>
    <x v="9"/>
    <x v="18"/>
    <x v="52"/>
    <x v="58"/>
    <x v="5"/>
    <n v="25675"/>
  </r>
  <r>
    <x v="1"/>
    <x v="7"/>
    <x v="22"/>
    <x v="9"/>
    <x v="19"/>
    <x v="100"/>
    <x v="1169"/>
    <x v="5"/>
    <n v="14700"/>
  </r>
  <r>
    <x v="1"/>
    <x v="7"/>
    <x v="22"/>
    <x v="9"/>
    <x v="20"/>
    <x v="510"/>
    <x v="1170"/>
    <x v="5"/>
    <n v="10725"/>
  </r>
  <r>
    <x v="1"/>
    <x v="7"/>
    <x v="23"/>
    <x v="0"/>
    <x v="6"/>
    <x v="30"/>
    <x v="976"/>
    <x v="0"/>
    <n v="1540"/>
  </r>
  <r>
    <x v="1"/>
    <x v="7"/>
    <x v="23"/>
    <x v="2"/>
    <x v="7"/>
    <x v="547"/>
    <x v="1171"/>
    <x v="0"/>
    <n v="3744"/>
  </r>
  <r>
    <x v="1"/>
    <x v="7"/>
    <x v="23"/>
    <x v="0"/>
    <x v="7"/>
    <x v="548"/>
    <x v="1172"/>
    <x v="0"/>
    <n v="53152"/>
  </r>
  <r>
    <x v="1"/>
    <x v="7"/>
    <x v="23"/>
    <x v="6"/>
    <x v="7"/>
    <x v="438"/>
    <x v="1173"/>
    <x v="0"/>
    <n v="13120"/>
  </r>
  <r>
    <x v="1"/>
    <x v="7"/>
    <x v="23"/>
    <x v="3"/>
    <x v="7"/>
    <x v="549"/>
    <x v="1174"/>
    <x v="0"/>
    <n v="46432"/>
  </r>
  <r>
    <x v="1"/>
    <x v="7"/>
    <x v="23"/>
    <x v="4"/>
    <x v="7"/>
    <x v="550"/>
    <x v="1175"/>
    <x v="0"/>
    <n v="44160"/>
  </r>
  <r>
    <x v="1"/>
    <x v="7"/>
    <x v="23"/>
    <x v="1"/>
    <x v="7"/>
    <x v="455"/>
    <x v="1176"/>
    <x v="0"/>
    <n v="25600"/>
  </r>
  <r>
    <x v="1"/>
    <x v="7"/>
    <x v="23"/>
    <x v="7"/>
    <x v="7"/>
    <x v="44"/>
    <x v="1177"/>
    <x v="0"/>
    <n v="15360"/>
  </r>
  <r>
    <x v="1"/>
    <x v="7"/>
    <x v="23"/>
    <x v="8"/>
    <x v="7"/>
    <x v="503"/>
    <x v="1178"/>
    <x v="0"/>
    <n v="9088"/>
  </r>
  <r>
    <x v="1"/>
    <x v="7"/>
    <x v="23"/>
    <x v="9"/>
    <x v="7"/>
    <x v="460"/>
    <x v="977"/>
    <x v="0"/>
    <n v="3136"/>
  </r>
  <r>
    <x v="1"/>
    <x v="7"/>
    <x v="23"/>
    <x v="5"/>
    <x v="8"/>
    <x v="438"/>
    <x v="1179"/>
    <x v="1"/>
    <n v="15990"/>
  </r>
  <r>
    <x v="1"/>
    <x v="7"/>
    <x v="23"/>
    <x v="1"/>
    <x v="9"/>
    <x v="551"/>
    <x v="1180"/>
    <x v="2"/>
    <n v="38200"/>
  </r>
  <r>
    <x v="1"/>
    <x v="7"/>
    <x v="23"/>
    <x v="9"/>
    <x v="10"/>
    <x v="552"/>
    <x v="1181"/>
    <x v="2"/>
    <n v="14359"/>
  </r>
  <r>
    <x v="1"/>
    <x v="7"/>
    <x v="23"/>
    <x v="2"/>
    <x v="11"/>
    <x v="161"/>
    <x v="1182"/>
    <x v="2"/>
    <n v="28165"/>
  </r>
  <r>
    <x v="1"/>
    <x v="7"/>
    <x v="23"/>
    <x v="0"/>
    <x v="11"/>
    <x v="553"/>
    <x v="1183"/>
    <x v="2"/>
    <n v="64930"/>
  </r>
  <r>
    <x v="1"/>
    <x v="7"/>
    <x v="23"/>
    <x v="3"/>
    <x v="11"/>
    <x v="554"/>
    <x v="1184"/>
    <x v="2"/>
    <n v="9503"/>
  </r>
  <r>
    <x v="1"/>
    <x v="7"/>
    <x v="23"/>
    <x v="4"/>
    <x v="11"/>
    <x v="555"/>
    <x v="1185"/>
    <x v="2"/>
    <n v="40893"/>
  </r>
  <r>
    <x v="1"/>
    <x v="7"/>
    <x v="23"/>
    <x v="1"/>
    <x v="11"/>
    <x v="552"/>
    <x v="1186"/>
    <x v="2"/>
    <n v="14878"/>
  </r>
  <r>
    <x v="1"/>
    <x v="7"/>
    <x v="23"/>
    <x v="7"/>
    <x v="11"/>
    <x v="556"/>
    <x v="891"/>
    <x v="2"/>
    <n v="15136"/>
  </r>
  <r>
    <x v="1"/>
    <x v="7"/>
    <x v="23"/>
    <x v="7"/>
    <x v="13"/>
    <x v="106"/>
    <x v="1187"/>
    <x v="3"/>
    <n v="2744"/>
  </r>
  <r>
    <x v="1"/>
    <x v="7"/>
    <x v="23"/>
    <x v="2"/>
    <x v="14"/>
    <x v="557"/>
    <x v="1188"/>
    <x v="3"/>
    <n v="8550"/>
  </r>
  <r>
    <x v="1"/>
    <x v="7"/>
    <x v="23"/>
    <x v="0"/>
    <x v="14"/>
    <x v="344"/>
    <x v="446"/>
    <x v="3"/>
    <n v="29250"/>
  </r>
  <r>
    <x v="1"/>
    <x v="7"/>
    <x v="23"/>
    <x v="6"/>
    <x v="14"/>
    <x v="15"/>
    <x v="1189"/>
    <x v="3"/>
    <n v="39000"/>
  </r>
  <r>
    <x v="1"/>
    <x v="7"/>
    <x v="23"/>
    <x v="4"/>
    <x v="14"/>
    <x v="25"/>
    <x v="1190"/>
    <x v="3"/>
    <n v="21000"/>
  </r>
  <r>
    <x v="1"/>
    <x v="7"/>
    <x v="23"/>
    <x v="1"/>
    <x v="14"/>
    <x v="558"/>
    <x v="1191"/>
    <x v="3"/>
    <n v="31300"/>
  </r>
  <r>
    <x v="1"/>
    <x v="7"/>
    <x v="23"/>
    <x v="7"/>
    <x v="14"/>
    <x v="380"/>
    <x v="1192"/>
    <x v="3"/>
    <n v="7450"/>
  </r>
  <r>
    <x v="1"/>
    <x v="7"/>
    <x v="23"/>
    <x v="2"/>
    <x v="15"/>
    <x v="450"/>
    <x v="1193"/>
    <x v="4"/>
    <n v="17490"/>
  </r>
  <r>
    <x v="1"/>
    <x v="7"/>
    <x v="23"/>
    <x v="0"/>
    <x v="15"/>
    <x v="559"/>
    <x v="1194"/>
    <x v="4"/>
    <n v="37455"/>
  </r>
  <r>
    <x v="1"/>
    <x v="7"/>
    <x v="23"/>
    <x v="3"/>
    <x v="15"/>
    <x v="258"/>
    <x v="484"/>
    <x v="4"/>
    <n v="61325"/>
  </r>
  <r>
    <x v="1"/>
    <x v="7"/>
    <x v="23"/>
    <x v="4"/>
    <x v="15"/>
    <x v="275"/>
    <x v="994"/>
    <x v="4"/>
    <n v="35750"/>
  </r>
  <r>
    <x v="1"/>
    <x v="7"/>
    <x v="23"/>
    <x v="1"/>
    <x v="15"/>
    <x v="168"/>
    <x v="588"/>
    <x v="4"/>
    <n v="330"/>
  </r>
  <r>
    <x v="1"/>
    <x v="7"/>
    <x v="23"/>
    <x v="7"/>
    <x v="15"/>
    <x v="366"/>
    <x v="1195"/>
    <x v="4"/>
    <n v="24145"/>
  </r>
  <r>
    <x v="1"/>
    <x v="7"/>
    <x v="23"/>
    <x v="8"/>
    <x v="15"/>
    <x v="534"/>
    <x v="1196"/>
    <x v="4"/>
    <n v="10285"/>
  </r>
  <r>
    <x v="1"/>
    <x v="7"/>
    <x v="23"/>
    <x v="0"/>
    <x v="16"/>
    <x v="109"/>
    <x v="1197"/>
    <x v="4"/>
    <n v="5220"/>
  </r>
  <r>
    <x v="1"/>
    <x v="7"/>
    <x v="23"/>
    <x v="6"/>
    <x v="16"/>
    <x v="55"/>
    <x v="193"/>
    <x v="4"/>
    <n v="6960"/>
  </r>
  <r>
    <x v="1"/>
    <x v="7"/>
    <x v="23"/>
    <x v="4"/>
    <x v="16"/>
    <x v="16"/>
    <x v="256"/>
    <x v="4"/>
    <n v="4060"/>
  </r>
  <r>
    <x v="1"/>
    <x v="7"/>
    <x v="23"/>
    <x v="1"/>
    <x v="16"/>
    <x v="38"/>
    <x v="1198"/>
    <x v="4"/>
    <n v="290"/>
  </r>
  <r>
    <x v="1"/>
    <x v="7"/>
    <x v="23"/>
    <x v="9"/>
    <x v="17"/>
    <x v="560"/>
    <x v="1199"/>
    <x v="4"/>
    <n v="6900"/>
  </r>
  <r>
    <x v="1"/>
    <x v="7"/>
    <x v="23"/>
    <x v="2"/>
    <x v="18"/>
    <x v="8"/>
    <x v="1200"/>
    <x v="5"/>
    <n v="6500"/>
  </r>
  <r>
    <x v="1"/>
    <x v="7"/>
    <x v="23"/>
    <x v="0"/>
    <x v="18"/>
    <x v="73"/>
    <x v="1201"/>
    <x v="5"/>
    <n v="45500"/>
  </r>
  <r>
    <x v="1"/>
    <x v="7"/>
    <x v="23"/>
    <x v="3"/>
    <x v="18"/>
    <x v="561"/>
    <x v="1202"/>
    <x v="5"/>
    <n v="53950"/>
  </r>
  <r>
    <x v="1"/>
    <x v="7"/>
    <x v="23"/>
    <x v="4"/>
    <x v="18"/>
    <x v="58"/>
    <x v="965"/>
    <x v="5"/>
    <n v="2600"/>
  </r>
  <r>
    <x v="1"/>
    <x v="7"/>
    <x v="23"/>
    <x v="1"/>
    <x v="18"/>
    <x v="334"/>
    <x v="1203"/>
    <x v="5"/>
    <n v="7280"/>
  </r>
  <r>
    <x v="1"/>
    <x v="7"/>
    <x v="23"/>
    <x v="7"/>
    <x v="18"/>
    <x v="19"/>
    <x v="495"/>
    <x v="5"/>
    <n v="9425"/>
  </r>
  <r>
    <x v="1"/>
    <x v="7"/>
    <x v="23"/>
    <x v="8"/>
    <x v="18"/>
    <x v="283"/>
    <x v="1204"/>
    <x v="5"/>
    <n v="1170"/>
  </r>
  <r>
    <x v="1"/>
    <x v="7"/>
    <x v="23"/>
    <x v="9"/>
    <x v="18"/>
    <x v="552"/>
    <x v="1205"/>
    <x v="5"/>
    <n v="22490"/>
  </r>
  <r>
    <x v="1"/>
    <x v="7"/>
    <x v="23"/>
    <x v="6"/>
    <x v="19"/>
    <x v="26"/>
    <x v="549"/>
    <x v="5"/>
    <n v="6650"/>
  </r>
  <r>
    <x v="1"/>
    <x v="7"/>
    <x v="23"/>
    <x v="9"/>
    <x v="19"/>
    <x v="19"/>
    <x v="1206"/>
    <x v="5"/>
    <n v="10150"/>
  </r>
  <r>
    <x v="1"/>
    <x v="7"/>
    <x v="23"/>
    <x v="2"/>
    <x v="20"/>
    <x v="45"/>
    <x v="972"/>
    <x v="5"/>
    <n v="75"/>
  </r>
  <r>
    <x v="1"/>
    <x v="7"/>
    <x v="23"/>
    <x v="0"/>
    <x v="20"/>
    <x v="316"/>
    <x v="1159"/>
    <x v="5"/>
    <n v="24750"/>
  </r>
  <r>
    <x v="1"/>
    <x v="7"/>
    <x v="23"/>
    <x v="3"/>
    <x v="20"/>
    <x v="122"/>
    <x v="970"/>
    <x v="5"/>
    <n v="28500"/>
  </r>
  <r>
    <x v="1"/>
    <x v="7"/>
    <x v="23"/>
    <x v="1"/>
    <x v="20"/>
    <x v="45"/>
    <x v="972"/>
    <x v="5"/>
    <n v="75"/>
  </r>
  <r>
    <x v="1"/>
    <x v="7"/>
    <x v="23"/>
    <x v="7"/>
    <x v="20"/>
    <x v="108"/>
    <x v="388"/>
    <x v="5"/>
    <n v="2175"/>
  </r>
  <r>
    <x v="1"/>
    <x v="7"/>
    <x v="23"/>
    <x v="9"/>
    <x v="20"/>
    <x v="457"/>
    <x v="1207"/>
    <x v="5"/>
    <n v="10575"/>
  </r>
  <r>
    <x v="1"/>
    <x v="7"/>
    <x v="23"/>
    <x v="1"/>
    <x v="22"/>
    <x v="1"/>
    <x v="1208"/>
    <x v="5"/>
    <n v="1558"/>
  </r>
  <r>
    <x v="1"/>
    <x v="7"/>
    <x v="23"/>
    <x v="2"/>
    <x v="23"/>
    <x v="334"/>
    <x v="1209"/>
    <x v="5"/>
    <n v="9520"/>
  </r>
  <r>
    <x v="1"/>
    <x v="7"/>
    <x v="23"/>
    <x v="3"/>
    <x v="23"/>
    <x v="62"/>
    <x v="213"/>
    <x v="5"/>
    <n v="2040"/>
  </r>
  <r>
    <x v="1"/>
    <x v="7"/>
    <x v="23"/>
    <x v="4"/>
    <x v="23"/>
    <x v="7"/>
    <x v="1090"/>
    <x v="5"/>
    <n v="1700"/>
  </r>
  <r>
    <x v="1"/>
    <x v="7"/>
    <x v="23"/>
    <x v="1"/>
    <x v="23"/>
    <x v="302"/>
    <x v="1210"/>
    <x v="5"/>
    <n v="1360"/>
  </r>
  <r>
    <x v="1"/>
    <x v="7"/>
    <x v="23"/>
    <x v="0"/>
    <x v="24"/>
    <x v="202"/>
    <x v="334"/>
    <x v="5"/>
    <n v="3096"/>
  </r>
  <r>
    <x v="1"/>
    <x v="7"/>
    <x v="23"/>
    <x v="7"/>
    <x v="24"/>
    <x v="264"/>
    <x v="506"/>
    <x v="5"/>
    <n v="7654"/>
  </r>
  <r>
    <x v="1"/>
    <x v="7"/>
    <x v="23"/>
    <x v="0"/>
    <x v="28"/>
    <x v="2"/>
    <x v="1211"/>
    <x v="5"/>
    <n v="720"/>
  </r>
  <r>
    <x v="1"/>
    <x v="7"/>
    <x v="23"/>
    <x v="0"/>
    <x v="25"/>
    <x v="59"/>
    <x v="76"/>
    <x v="5"/>
    <n v="196"/>
  </r>
  <r>
    <x v="1"/>
    <x v="7"/>
    <x v="23"/>
    <x v="3"/>
    <x v="25"/>
    <x v="129"/>
    <x v="1110"/>
    <x v="5"/>
    <n v="1176"/>
  </r>
  <r>
    <x v="1"/>
    <x v="7"/>
    <x v="23"/>
    <x v="7"/>
    <x v="25"/>
    <x v="59"/>
    <x v="76"/>
    <x v="5"/>
    <n v="196"/>
  </r>
  <r>
    <x v="2"/>
    <x v="8"/>
    <x v="24"/>
    <x v="0"/>
    <x v="6"/>
    <x v="196"/>
    <x v="1212"/>
    <x v="0"/>
    <n v="1288"/>
  </r>
  <r>
    <x v="2"/>
    <x v="8"/>
    <x v="24"/>
    <x v="2"/>
    <x v="7"/>
    <x v="562"/>
    <x v="1213"/>
    <x v="0"/>
    <n v="2624"/>
  </r>
  <r>
    <x v="2"/>
    <x v="8"/>
    <x v="24"/>
    <x v="0"/>
    <x v="7"/>
    <x v="563"/>
    <x v="1214"/>
    <x v="0"/>
    <n v="55040"/>
  </r>
  <r>
    <x v="2"/>
    <x v="8"/>
    <x v="24"/>
    <x v="6"/>
    <x v="7"/>
    <x v="166"/>
    <x v="1215"/>
    <x v="0"/>
    <n v="14432"/>
  </r>
  <r>
    <x v="2"/>
    <x v="8"/>
    <x v="24"/>
    <x v="3"/>
    <x v="7"/>
    <x v="564"/>
    <x v="1216"/>
    <x v="0"/>
    <n v="46240"/>
  </r>
  <r>
    <x v="2"/>
    <x v="8"/>
    <x v="24"/>
    <x v="4"/>
    <x v="7"/>
    <x v="565"/>
    <x v="1217"/>
    <x v="0"/>
    <n v="44192"/>
  </r>
  <r>
    <x v="2"/>
    <x v="8"/>
    <x v="24"/>
    <x v="1"/>
    <x v="7"/>
    <x v="288"/>
    <x v="567"/>
    <x v="0"/>
    <n v="24320"/>
  </r>
  <r>
    <x v="2"/>
    <x v="8"/>
    <x v="24"/>
    <x v="7"/>
    <x v="7"/>
    <x v="76"/>
    <x v="1218"/>
    <x v="0"/>
    <n v="8640"/>
  </r>
  <r>
    <x v="2"/>
    <x v="8"/>
    <x v="24"/>
    <x v="8"/>
    <x v="7"/>
    <x v="141"/>
    <x v="1219"/>
    <x v="0"/>
    <n v="4736"/>
  </r>
  <r>
    <x v="2"/>
    <x v="8"/>
    <x v="24"/>
    <x v="9"/>
    <x v="7"/>
    <x v="158"/>
    <x v="404"/>
    <x v="0"/>
    <n v="3360"/>
  </r>
  <r>
    <x v="2"/>
    <x v="8"/>
    <x v="24"/>
    <x v="5"/>
    <x v="8"/>
    <x v="86"/>
    <x v="168"/>
    <x v="1"/>
    <n v="12480"/>
  </r>
  <r>
    <x v="2"/>
    <x v="8"/>
    <x v="24"/>
    <x v="1"/>
    <x v="9"/>
    <x v="566"/>
    <x v="1220"/>
    <x v="2"/>
    <n v="31720"/>
  </r>
  <r>
    <x v="2"/>
    <x v="8"/>
    <x v="24"/>
    <x v="9"/>
    <x v="10"/>
    <x v="195"/>
    <x v="1221"/>
    <x v="2"/>
    <n v="13902.5"/>
  </r>
  <r>
    <x v="2"/>
    <x v="8"/>
    <x v="24"/>
    <x v="2"/>
    <x v="11"/>
    <x v="567"/>
    <x v="1222"/>
    <x v="2"/>
    <n v="24338"/>
  </r>
  <r>
    <x v="2"/>
    <x v="8"/>
    <x v="24"/>
    <x v="0"/>
    <x v="11"/>
    <x v="530"/>
    <x v="1223"/>
    <x v="2"/>
    <n v="67983"/>
  </r>
  <r>
    <x v="2"/>
    <x v="8"/>
    <x v="24"/>
    <x v="3"/>
    <x v="11"/>
    <x v="125"/>
    <x v="424"/>
    <x v="2"/>
    <n v="12470"/>
  </r>
  <r>
    <x v="2"/>
    <x v="8"/>
    <x v="24"/>
    <x v="4"/>
    <x v="11"/>
    <x v="115"/>
    <x v="1224"/>
    <x v="2"/>
    <n v="39130"/>
  </r>
  <r>
    <x v="2"/>
    <x v="8"/>
    <x v="24"/>
    <x v="1"/>
    <x v="11"/>
    <x v="134"/>
    <x v="471"/>
    <x v="2"/>
    <n v="10105"/>
  </r>
  <r>
    <x v="2"/>
    <x v="8"/>
    <x v="24"/>
    <x v="7"/>
    <x v="11"/>
    <x v="568"/>
    <x v="1225"/>
    <x v="2"/>
    <n v="13244"/>
  </r>
  <r>
    <x v="2"/>
    <x v="8"/>
    <x v="24"/>
    <x v="7"/>
    <x v="13"/>
    <x v="106"/>
    <x v="1187"/>
    <x v="3"/>
    <n v="2744"/>
  </r>
  <r>
    <x v="2"/>
    <x v="8"/>
    <x v="24"/>
    <x v="2"/>
    <x v="14"/>
    <x v="373"/>
    <x v="1226"/>
    <x v="3"/>
    <n v="10400"/>
  </r>
  <r>
    <x v="2"/>
    <x v="8"/>
    <x v="24"/>
    <x v="0"/>
    <x v="14"/>
    <x v="72"/>
    <x v="480"/>
    <x v="3"/>
    <n v="20000"/>
  </r>
  <r>
    <x v="2"/>
    <x v="8"/>
    <x v="24"/>
    <x v="6"/>
    <x v="14"/>
    <x v="537"/>
    <x v="1227"/>
    <x v="3"/>
    <n v="42500"/>
  </r>
  <r>
    <x v="2"/>
    <x v="8"/>
    <x v="24"/>
    <x v="4"/>
    <x v="14"/>
    <x v="122"/>
    <x v="1033"/>
    <x v="3"/>
    <n v="19000"/>
  </r>
  <r>
    <x v="2"/>
    <x v="8"/>
    <x v="24"/>
    <x v="1"/>
    <x v="14"/>
    <x v="101"/>
    <x v="449"/>
    <x v="3"/>
    <n v="20250"/>
  </r>
  <r>
    <x v="2"/>
    <x v="8"/>
    <x v="24"/>
    <x v="7"/>
    <x v="14"/>
    <x v="55"/>
    <x v="1228"/>
    <x v="3"/>
    <n v="6000"/>
  </r>
  <r>
    <x v="2"/>
    <x v="8"/>
    <x v="24"/>
    <x v="2"/>
    <x v="15"/>
    <x v="76"/>
    <x v="646"/>
    <x v="4"/>
    <n v="14850"/>
  </r>
  <r>
    <x v="2"/>
    <x v="8"/>
    <x v="24"/>
    <x v="0"/>
    <x v="15"/>
    <x v="47"/>
    <x v="372"/>
    <x v="4"/>
    <n v="33000"/>
  </r>
  <r>
    <x v="2"/>
    <x v="8"/>
    <x v="24"/>
    <x v="3"/>
    <x v="15"/>
    <x v="509"/>
    <x v="1074"/>
    <x v="4"/>
    <n v="62975"/>
  </r>
  <r>
    <x v="2"/>
    <x v="8"/>
    <x v="24"/>
    <x v="4"/>
    <x v="15"/>
    <x v="76"/>
    <x v="646"/>
    <x v="4"/>
    <n v="14850"/>
  </r>
  <r>
    <x v="2"/>
    <x v="8"/>
    <x v="24"/>
    <x v="1"/>
    <x v="15"/>
    <x v="283"/>
    <x v="1229"/>
    <x v="4"/>
    <n v="990"/>
  </r>
  <r>
    <x v="2"/>
    <x v="8"/>
    <x v="24"/>
    <x v="7"/>
    <x v="15"/>
    <x v="569"/>
    <x v="1230"/>
    <x v="4"/>
    <n v="33935"/>
  </r>
  <r>
    <x v="2"/>
    <x v="8"/>
    <x v="24"/>
    <x v="8"/>
    <x v="15"/>
    <x v="570"/>
    <x v="1231"/>
    <x v="4"/>
    <n v="21340"/>
  </r>
  <r>
    <x v="2"/>
    <x v="8"/>
    <x v="24"/>
    <x v="0"/>
    <x v="16"/>
    <x v="7"/>
    <x v="652"/>
    <x v="4"/>
    <n v="1160"/>
  </r>
  <r>
    <x v="2"/>
    <x v="8"/>
    <x v="24"/>
    <x v="6"/>
    <x v="16"/>
    <x v="32"/>
    <x v="748"/>
    <x v="4"/>
    <n v="8120"/>
  </r>
  <r>
    <x v="2"/>
    <x v="8"/>
    <x v="24"/>
    <x v="4"/>
    <x v="16"/>
    <x v="29"/>
    <x v="540"/>
    <x v="4"/>
    <n v="1740"/>
  </r>
  <r>
    <x v="2"/>
    <x v="8"/>
    <x v="24"/>
    <x v="1"/>
    <x v="16"/>
    <x v="143"/>
    <x v="1232"/>
    <x v="4"/>
    <n v="174"/>
  </r>
  <r>
    <x v="2"/>
    <x v="8"/>
    <x v="24"/>
    <x v="9"/>
    <x v="17"/>
    <x v="81"/>
    <x v="1233"/>
    <x v="4"/>
    <n v="12000"/>
  </r>
  <r>
    <x v="2"/>
    <x v="8"/>
    <x v="24"/>
    <x v="2"/>
    <x v="18"/>
    <x v="526"/>
    <x v="1119"/>
    <x v="5"/>
    <n v="6695"/>
  </r>
  <r>
    <x v="2"/>
    <x v="8"/>
    <x v="24"/>
    <x v="0"/>
    <x v="18"/>
    <x v="194"/>
    <x v="321"/>
    <x v="5"/>
    <n v="48750"/>
  </r>
  <r>
    <x v="2"/>
    <x v="8"/>
    <x v="24"/>
    <x v="3"/>
    <x v="18"/>
    <x v="126"/>
    <x v="1234"/>
    <x v="5"/>
    <n v="45695"/>
  </r>
  <r>
    <x v="2"/>
    <x v="8"/>
    <x v="24"/>
    <x v="4"/>
    <x v="18"/>
    <x v="29"/>
    <x v="1235"/>
    <x v="5"/>
    <n v="1950"/>
  </r>
  <r>
    <x v="2"/>
    <x v="8"/>
    <x v="24"/>
    <x v="1"/>
    <x v="18"/>
    <x v="511"/>
    <x v="1084"/>
    <x v="5"/>
    <n v="2730"/>
  </r>
  <r>
    <x v="2"/>
    <x v="8"/>
    <x v="24"/>
    <x v="7"/>
    <x v="18"/>
    <x v="362"/>
    <x v="1236"/>
    <x v="5"/>
    <n v="11505"/>
  </r>
  <r>
    <x v="2"/>
    <x v="8"/>
    <x v="24"/>
    <x v="8"/>
    <x v="18"/>
    <x v="380"/>
    <x v="798"/>
    <x v="5"/>
    <n v="9685"/>
  </r>
  <r>
    <x v="2"/>
    <x v="8"/>
    <x v="24"/>
    <x v="9"/>
    <x v="18"/>
    <x v="571"/>
    <x v="1237"/>
    <x v="5"/>
    <n v="13715"/>
  </r>
  <r>
    <x v="2"/>
    <x v="8"/>
    <x v="24"/>
    <x v="6"/>
    <x v="19"/>
    <x v="102"/>
    <x v="136"/>
    <x v="5"/>
    <n v="4550"/>
  </r>
  <r>
    <x v="2"/>
    <x v="8"/>
    <x v="24"/>
    <x v="9"/>
    <x v="19"/>
    <x v="10"/>
    <x v="598"/>
    <x v="5"/>
    <n v="16100"/>
  </r>
  <r>
    <x v="2"/>
    <x v="8"/>
    <x v="24"/>
    <x v="2"/>
    <x v="20"/>
    <x v="59"/>
    <x v="1007"/>
    <x v="5"/>
    <n v="150"/>
  </r>
  <r>
    <x v="2"/>
    <x v="8"/>
    <x v="24"/>
    <x v="0"/>
    <x v="20"/>
    <x v="122"/>
    <x v="970"/>
    <x v="5"/>
    <n v="28500"/>
  </r>
  <r>
    <x v="2"/>
    <x v="8"/>
    <x v="24"/>
    <x v="3"/>
    <x v="20"/>
    <x v="572"/>
    <x v="1238"/>
    <x v="5"/>
    <n v="23175"/>
  </r>
  <r>
    <x v="2"/>
    <x v="8"/>
    <x v="24"/>
    <x v="1"/>
    <x v="20"/>
    <x v="45"/>
    <x v="972"/>
    <x v="5"/>
    <n v="75"/>
  </r>
  <r>
    <x v="2"/>
    <x v="8"/>
    <x v="24"/>
    <x v="7"/>
    <x v="20"/>
    <x v="223"/>
    <x v="932"/>
    <x v="5"/>
    <n v="1275"/>
  </r>
  <r>
    <x v="2"/>
    <x v="8"/>
    <x v="24"/>
    <x v="9"/>
    <x v="20"/>
    <x v="526"/>
    <x v="1239"/>
    <x v="5"/>
    <n v="7725"/>
  </r>
  <r>
    <x v="2"/>
    <x v="8"/>
    <x v="24"/>
    <x v="1"/>
    <x v="22"/>
    <x v="61"/>
    <x v="1165"/>
    <x v="5"/>
    <n v="1148"/>
  </r>
  <r>
    <x v="2"/>
    <x v="8"/>
    <x v="24"/>
    <x v="2"/>
    <x v="23"/>
    <x v="573"/>
    <x v="1240"/>
    <x v="5"/>
    <n v="7905"/>
  </r>
  <r>
    <x v="2"/>
    <x v="8"/>
    <x v="24"/>
    <x v="3"/>
    <x v="23"/>
    <x v="304"/>
    <x v="934"/>
    <x v="5"/>
    <n v="2295"/>
  </r>
  <r>
    <x v="2"/>
    <x v="8"/>
    <x v="24"/>
    <x v="4"/>
    <x v="23"/>
    <x v="29"/>
    <x v="1241"/>
    <x v="5"/>
    <n v="2550"/>
  </r>
  <r>
    <x v="2"/>
    <x v="8"/>
    <x v="24"/>
    <x v="1"/>
    <x v="23"/>
    <x v="61"/>
    <x v="453"/>
    <x v="5"/>
    <n v="1190"/>
  </r>
  <r>
    <x v="2"/>
    <x v="8"/>
    <x v="24"/>
    <x v="0"/>
    <x v="24"/>
    <x v="2"/>
    <x v="1242"/>
    <x v="5"/>
    <n v="688"/>
  </r>
  <r>
    <x v="2"/>
    <x v="8"/>
    <x v="24"/>
    <x v="7"/>
    <x v="24"/>
    <x v="407"/>
    <x v="891"/>
    <x v="5"/>
    <n v="7568"/>
  </r>
  <r>
    <x v="2"/>
    <x v="8"/>
    <x v="24"/>
    <x v="0"/>
    <x v="28"/>
    <x v="143"/>
    <x v="1093"/>
    <x v="5"/>
    <n v="270"/>
  </r>
  <r>
    <x v="2"/>
    <x v="8"/>
    <x v="24"/>
    <x v="0"/>
    <x v="25"/>
    <x v="45"/>
    <x v="335"/>
    <x v="5"/>
    <n v="98"/>
  </r>
  <r>
    <x v="2"/>
    <x v="8"/>
    <x v="24"/>
    <x v="3"/>
    <x v="25"/>
    <x v="105"/>
    <x v="1243"/>
    <x v="5"/>
    <n v="686"/>
  </r>
  <r>
    <x v="2"/>
    <x v="8"/>
    <x v="24"/>
    <x v="7"/>
    <x v="25"/>
    <x v="143"/>
    <x v="215"/>
    <x v="5"/>
    <n v="294"/>
  </r>
  <r>
    <x v="2"/>
    <x v="8"/>
    <x v="24"/>
    <x v="1"/>
    <x v="26"/>
    <x v="45"/>
    <x v="77"/>
    <x v="5"/>
    <n v="100"/>
  </r>
  <r>
    <x v="2"/>
    <x v="8"/>
    <x v="25"/>
    <x v="0"/>
    <x v="6"/>
    <x v="202"/>
    <x v="937"/>
    <x v="0"/>
    <n v="1008"/>
  </r>
  <r>
    <x v="2"/>
    <x v="8"/>
    <x v="25"/>
    <x v="2"/>
    <x v="7"/>
    <x v="172"/>
    <x v="285"/>
    <x v="0"/>
    <n v="3904"/>
  </r>
  <r>
    <x v="2"/>
    <x v="8"/>
    <x v="25"/>
    <x v="0"/>
    <x v="7"/>
    <x v="574"/>
    <x v="1244"/>
    <x v="0"/>
    <n v="53536"/>
  </r>
  <r>
    <x v="2"/>
    <x v="8"/>
    <x v="25"/>
    <x v="6"/>
    <x v="7"/>
    <x v="575"/>
    <x v="1245"/>
    <x v="0"/>
    <n v="12864"/>
  </r>
  <r>
    <x v="2"/>
    <x v="8"/>
    <x v="25"/>
    <x v="3"/>
    <x v="7"/>
    <x v="576"/>
    <x v="1246"/>
    <x v="0"/>
    <n v="51424"/>
  </r>
  <r>
    <x v="2"/>
    <x v="8"/>
    <x v="25"/>
    <x v="4"/>
    <x v="7"/>
    <x v="577"/>
    <x v="1247"/>
    <x v="0"/>
    <n v="46592"/>
  </r>
  <r>
    <x v="2"/>
    <x v="8"/>
    <x v="25"/>
    <x v="1"/>
    <x v="7"/>
    <x v="578"/>
    <x v="1248"/>
    <x v="0"/>
    <n v="21856"/>
  </r>
  <r>
    <x v="2"/>
    <x v="8"/>
    <x v="25"/>
    <x v="7"/>
    <x v="7"/>
    <x v="478"/>
    <x v="1249"/>
    <x v="0"/>
    <n v="8928"/>
  </r>
  <r>
    <x v="2"/>
    <x v="8"/>
    <x v="25"/>
    <x v="8"/>
    <x v="7"/>
    <x v="156"/>
    <x v="1250"/>
    <x v="0"/>
    <n v="5248"/>
  </r>
  <r>
    <x v="2"/>
    <x v="8"/>
    <x v="25"/>
    <x v="9"/>
    <x v="7"/>
    <x v="573"/>
    <x v="1251"/>
    <x v="0"/>
    <n v="2976"/>
  </r>
  <r>
    <x v="2"/>
    <x v="8"/>
    <x v="25"/>
    <x v="5"/>
    <x v="8"/>
    <x v="235"/>
    <x v="1252"/>
    <x v="1"/>
    <n v="10959"/>
  </r>
  <r>
    <x v="2"/>
    <x v="8"/>
    <x v="25"/>
    <x v="1"/>
    <x v="9"/>
    <x v="579"/>
    <x v="1253"/>
    <x v="2"/>
    <n v="26720"/>
  </r>
  <r>
    <x v="2"/>
    <x v="8"/>
    <x v="25"/>
    <x v="9"/>
    <x v="10"/>
    <x v="320"/>
    <x v="1254"/>
    <x v="2"/>
    <n v="10209"/>
  </r>
  <r>
    <x v="2"/>
    <x v="8"/>
    <x v="25"/>
    <x v="2"/>
    <x v="11"/>
    <x v="47"/>
    <x v="172"/>
    <x v="2"/>
    <n v="25800"/>
  </r>
  <r>
    <x v="2"/>
    <x v="8"/>
    <x v="25"/>
    <x v="0"/>
    <x v="11"/>
    <x v="580"/>
    <x v="1255"/>
    <x v="2"/>
    <n v="72627"/>
  </r>
  <r>
    <x v="2"/>
    <x v="8"/>
    <x v="25"/>
    <x v="3"/>
    <x v="11"/>
    <x v="581"/>
    <x v="1256"/>
    <x v="2"/>
    <n v="14706"/>
  </r>
  <r>
    <x v="2"/>
    <x v="8"/>
    <x v="25"/>
    <x v="4"/>
    <x v="11"/>
    <x v="582"/>
    <x v="1257"/>
    <x v="2"/>
    <n v="38657"/>
  </r>
  <r>
    <x v="2"/>
    <x v="8"/>
    <x v="25"/>
    <x v="1"/>
    <x v="11"/>
    <x v="356"/>
    <x v="1258"/>
    <x v="2"/>
    <n v="10664"/>
  </r>
  <r>
    <x v="2"/>
    <x v="8"/>
    <x v="25"/>
    <x v="7"/>
    <x v="11"/>
    <x v="583"/>
    <x v="1259"/>
    <x v="2"/>
    <n v="12556"/>
  </r>
  <r>
    <x v="2"/>
    <x v="8"/>
    <x v="25"/>
    <x v="7"/>
    <x v="13"/>
    <x v="382"/>
    <x v="1260"/>
    <x v="3"/>
    <n v="2499"/>
  </r>
  <r>
    <x v="2"/>
    <x v="8"/>
    <x v="25"/>
    <x v="2"/>
    <x v="14"/>
    <x v="584"/>
    <x v="1261"/>
    <x v="3"/>
    <n v="9550"/>
  </r>
  <r>
    <x v="2"/>
    <x v="8"/>
    <x v="25"/>
    <x v="0"/>
    <x v="14"/>
    <x v="183"/>
    <x v="1262"/>
    <x v="3"/>
    <n v="19500"/>
  </r>
  <r>
    <x v="2"/>
    <x v="8"/>
    <x v="25"/>
    <x v="6"/>
    <x v="14"/>
    <x v="585"/>
    <x v="1263"/>
    <x v="3"/>
    <n v="40050"/>
  </r>
  <r>
    <x v="2"/>
    <x v="8"/>
    <x v="25"/>
    <x v="4"/>
    <x v="14"/>
    <x v="428"/>
    <x v="1264"/>
    <x v="3"/>
    <n v="20600"/>
  </r>
  <r>
    <x v="2"/>
    <x v="8"/>
    <x v="25"/>
    <x v="1"/>
    <x v="14"/>
    <x v="586"/>
    <x v="1265"/>
    <x v="3"/>
    <n v="28950"/>
  </r>
  <r>
    <x v="2"/>
    <x v="8"/>
    <x v="25"/>
    <x v="7"/>
    <x v="14"/>
    <x v="385"/>
    <x v="1266"/>
    <x v="3"/>
    <n v="8150"/>
  </r>
  <r>
    <x v="2"/>
    <x v="8"/>
    <x v="25"/>
    <x v="2"/>
    <x v="15"/>
    <x v="554"/>
    <x v="1267"/>
    <x v="4"/>
    <n v="12155"/>
  </r>
  <r>
    <x v="2"/>
    <x v="8"/>
    <x v="25"/>
    <x v="0"/>
    <x v="15"/>
    <x v="587"/>
    <x v="1268"/>
    <x v="4"/>
    <n v="28380"/>
  </r>
  <r>
    <x v="2"/>
    <x v="8"/>
    <x v="25"/>
    <x v="3"/>
    <x v="15"/>
    <x v="588"/>
    <x v="1269"/>
    <x v="4"/>
    <n v="53790"/>
  </r>
  <r>
    <x v="2"/>
    <x v="8"/>
    <x v="25"/>
    <x v="4"/>
    <x v="15"/>
    <x v="589"/>
    <x v="1270"/>
    <x v="4"/>
    <n v="25135"/>
  </r>
  <r>
    <x v="2"/>
    <x v="8"/>
    <x v="25"/>
    <x v="1"/>
    <x v="15"/>
    <x v="200"/>
    <x v="1271"/>
    <x v="4"/>
    <n v="715"/>
  </r>
  <r>
    <x v="2"/>
    <x v="8"/>
    <x v="25"/>
    <x v="7"/>
    <x v="15"/>
    <x v="590"/>
    <x v="1272"/>
    <x v="4"/>
    <n v="29810"/>
  </r>
  <r>
    <x v="2"/>
    <x v="8"/>
    <x v="25"/>
    <x v="8"/>
    <x v="15"/>
    <x v="125"/>
    <x v="1273"/>
    <x v="4"/>
    <n v="15950"/>
  </r>
  <r>
    <x v="2"/>
    <x v="8"/>
    <x v="25"/>
    <x v="0"/>
    <x v="16"/>
    <x v="75"/>
    <x v="1274"/>
    <x v="4"/>
    <n v="1218"/>
  </r>
  <r>
    <x v="2"/>
    <x v="8"/>
    <x v="25"/>
    <x v="6"/>
    <x v="16"/>
    <x v="591"/>
    <x v="1275"/>
    <x v="4"/>
    <n v="7772"/>
  </r>
  <r>
    <x v="2"/>
    <x v="8"/>
    <x v="25"/>
    <x v="4"/>
    <x v="16"/>
    <x v="61"/>
    <x v="1276"/>
    <x v="4"/>
    <n v="812"/>
  </r>
  <r>
    <x v="2"/>
    <x v="8"/>
    <x v="25"/>
    <x v="1"/>
    <x v="16"/>
    <x v="143"/>
    <x v="1232"/>
    <x v="4"/>
    <n v="174"/>
  </r>
  <r>
    <x v="2"/>
    <x v="8"/>
    <x v="25"/>
    <x v="9"/>
    <x v="17"/>
    <x v="545"/>
    <x v="1277"/>
    <x v="4"/>
    <n v="7380"/>
  </r>
  <r>
    <x v="2"/>
    <x v="8"/>
    <x v="25"/>
    <x v="2"/>
    <x v="18"/>
    <x v="8"/>
    <x v="1200"/>
    <x v="5"/>
    <n v="6500"/>
  </r>
  <r>
    <x v="2"/>
    <x v="8"/>
    <x v="25"/>
    <x v="0"/>
    <x v="18"/>
    <x v="592"/>
    <x v="1278"/>
    <x v="5"/>
    <n v="45760"/>
  </r>
  <r>
    <x v="2"/>
    <x v="8"/>
    <x v="25"/>
    <x v="3"/>
    <x v="18"/>
    <x v="238"/>
    <x v="1279"/>
    <x v="5"/>
    <n v="36725"/>
  </r>
  <r>
    <x v="2"/>
    <x v="8"/>
    <x v="25"/>
    <x v="4"/>
    <x v="18"/>
    <x v="137"/>
    <x v="200"/>
    <x v="5"/>
    <n v="2795"/>
  </r>
  <r>
    <x v="2"/>
    <x v="8"/>
    <x v="25"/>
    <x v="1"/>
    <x v="18"/>
    <x v="56"/>
    <x v="706"/>
    <x v="5"/>
    <n v="4290"/>
  </r>
  <r>
    <x v="2"/>
    <x v="8"/>
    <x v="25"/>
    <x v="7"/>
    <x v="18"/>
    <x v="593"/>
    <x v="1280"/>
    <x v="5"/>
    <n v="10985"/>
  </r>
  <r>
    <x v="2"/>
    <x v="8"/>
    <x v="25"/>
    <x v="8"/>
    <x v="18"/>
    <x v="171"/>
    <x v="924"/>
    <x v="5"/>
    <n v="3055"/>
  </r>
  <r>
    <x v="2"/>
    <x v="8"/>
    <x v="25"/>
    <x v="9"/>
    <x v="18"/>
    <x v="594"/>
    <x v="1281"/>
    <x v="5"/>
    <n v="19435"/>
  </r>
  <r>
    <x v="2"/>
    <x v="8"/>
    <x v="25"/>
    <x v="6"/>
    <x v="19"/>
    <x v="74"/>
    <x v="204"/>
    <x v="5"/>
    <n v="4200"/>
  </r>
  <r>
    <x v="2"/>
    <x v="8"/>
    <x v="25"/>
    <x v="9"/>
    <x v="19"/>
    <x v="406"/>
    <x v="1282"/>
    <x v="5"/>
    <n v="13020"/>
  </r>
  <r>
    <x v="2"/>
    <x v="8"/>
    <x v="25"/>
    <x v="2"/>
    <x v="20"/>
    <x v="59"/>
    <x v="1007"/>
    <x v="5"/>
    <n v="150"/>
  </r>
  <r>
    <x v="2"/>
    <x v="8"/>
    <x v="25"/>
    <x v="0"/>
    <x v="20"/>
    <x v="499"/>
    <x v="1283"/>
    <x v="5"/>
    <n v="29925"/>
  </r>
  <r>
    <x v="2"/>
    <x v="8"/>
    <x v="25"/>
    <x v="3"/>
    <x v="20"/>
    <x v="595"/>
    <x v="1284"/>
    <x v="5"/>
    <n v="25800"/>
  </r>
  <r>
    <x v="2"/>
    <x v="8"/>
    <x v="25"/>
    <x v="1"/>
    <x v="20"/>
    <x v="28"/>
    <x v="32"/>
    <x v="5"/>
    <n v="0"/>
  </r>
  <r>
    <x v="2"/>
    <x v="8"/>
    <x v="25"/>
    <x v="7"/>
    <x v="20"/>
    <x v="283"/>
    <x v="551"/>
    <x v="5"/>
    <n v="1350"/>
  </r>
  <r>
    <x v="2"/>
    <x v="8"/>
    <x v="25"/>
    <x v="9"/>
    <x v="20"/>
    <x v="132"/>
    <x v="447"/>
    <x v="5"/>
    <n v="10125"/>
  </r>
  <r>
    <x v="2"/>
    <x v="8"/>
    <x v="25"/>
    <x v="1"/>
    <x v="22"/>
    <x v="199"/>
    <x v="329"/>
    <x v="5"/>
    <n v="328"/>
  </r>
  <r>
    <x v="2"/>
    <x v="8"/>
    <x v="25"/>
    <x v="2"/>
    <x v="23"/>
    <x v="264"/>
    <x v="1285"/>
    <x v="5"/>
    <n v="7565"/>
  </r>
  <r>
    <x v="2"/>
    <x v="8"/>
    <x v="25"/>
    <x v="3"/>
    <x v="23"/>
    <x v="62"/>
    <x v="213"/>
    <x v="5"/>
    <n v="2040"/>
  </r>
  <r>
    <x v="2"/>
    <x v="8"/>
    <x v="25"/>
    <x v="4"/>
    <x v="23"/>
    <x v="53"/>
    <x v="1127"/>
    <x v="5"/>
    <n v="2975"/>
  </r>
  <r>
    <x v="2"/>
    <x v="8"/>
    <x v="25"/>
    <x v="1"/>
    <x v="23"/>
    <x v="244"/>
    <x v="1286"/>
    <x v="5"/>
    <n v="2210"/>
  </r>
  <r>
    <x v="2"/>
    <x v="8"/>
    <x v="25"/>
    <x v="0"/>
    <x v="24"/>
    <x v="84"/>
    <x v="1287"/>
    <x v="5"/>
    <n v="1290"/>
  </r>
  <r>
    <x v="2"/>
    <x v="8"/>
    <x v="25"/>
    <x v="7"/>
    <x v="24"/>
    <x v="596"/>
    <x v="1288"/>
    <x v="5"/>
    <n v="7224"/>
  </r>
  <r>
    <x v="2"/>
    <x v="8"/>
    <x v="25"/>
    <x v="0"/>
    <x v="28"/>
    <x v="45"/>
    <x v="936"/>
    <x v="5"/>
    <n v="90"/>
  </r>
  <r>
    <x v="2"/>
    <x v="8"/>
    <x v="25"/>
    <x v="0"/>
    <x v="25"/>
    <x v="59"/>
    <x v="76"/>
    <x v="5"/>
    <n v="196"/>
  </r>
  <r>
    <x v="2"/>
    <x v="8"/>
    <x v="25"/>
    <x v="3"/>
    <x v="25"/>
    <x v="38"/>
    <x v="304"/>
    <x v="5"/>
    <n v="490"/>
  </r>
  <r>
    <x v="2"/>
    <x v="8"/>
    <x v="25"/>
    <x v="7"/>
    <x v="25"/>
    <x v="59"/>
    <x v="76"/>
    <x v="5"/>
    <n v="196"/>
  </r>
  <r>
    <x v="2"/>
    <x v="8"/>
    <x v="25"/>
    <x v="1"/>
    <x v="26"/>
    <x v="45"/>
    <x v="77"/>
    <x v="5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1" cacheId="2" applyNumberFormats="0" applyBorderFormats="0" applyFontFormats="0" applyPatternFormats="0" applyAlignmentFormats="0" applyWidthHeightFormats="1" dataCaption="值" updatedVersion="7" minRefreshableVersion="3" useAutoFormatting="1" colGrandTotals="0" itemPrintTitles="1" createdVersion="6" indent="0" compact="0" compactData="0" gridDropZones="1" multipleFieldFilters="0">
  <location ref="B7:AC152" firstHeaderRow="1" firstDataRow="2" firstDataCol="2" rowPageCount="3" colPageCount="1"/>
  <pivotFields count="9">
    <pivotField axis="axisPage" compact="0" outline="0" multipleItemSelectionAllowed="1" showAll="0" defaultSubtotal="0">
      <items count="3">
        <item x="0"/>
        <item x="1"/>
        <item x="2"/>
      </items>
    </pivotField>
    <pivotField axis="axisPage" compact="0" outline="0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compact="0" outline="0" showAll="0">
      <items count="11">
        <item x="2"/>
        <item x="0"/>
        <item x="5"/>
        <item x="6"/>
        <item x="3"/>
        <item x="4"/>
        <item x="1"/>
        <item x="7"/>
        <item x="8"/>
        <item x="9"/>
        <item t="default"/>
      </items>
    </pivotField>
    <pivotField axis="axisRow" compact="0" outline="0"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2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dataField="1" compact="0" outline="0" showAll="0"/>
    <pivotField axis="axisPage" compact="0" outline="0" showAll="0">
      <items count="1290">
        <item x="32"/>
        <item x="609"/>
        <item x="509"/>
        <item x="78"/>
        <item x="222"/>
        <item x="279"/>
        <item x="502"/>
        <item x="610"/>
        <item x="333"/>
        <item x="399"/>
        <item x="425"/>
        <item x="454"/>
        <item x="809"/>
        <item x="635"/>
        <item x="338"/>
        <item x="397"/>
        <item x="2"/>
        <item x="400"/>
        <item x="50"/>
        <item x="0"/>
        <item x="456"/>
        <item x="337"/>
        <item x="336"/>
        <item x="739"/>
        <item x="79"/>
        <item x="440"/>
        <item x="3"/>
        <item x="216"/>
        <item x="507"/>
        <item x="508"/>
        <item x="151"/>
        <item x="672"/>
        <item x="144"/>
        <item x="80"/>
        <item x="1"/>
        <item x="70"/>
        <item x="721"/>
        <item x="74"/>
        <item x="413"/>
        <item x="355"/>
        <item x="335"/>
        <item x="150"/>
        <item x="77"/>
        <item x="364"/>
        <item x="731"/>
        <item x="526"/>
        <item x="537"/>
        <item x="42"/>
        <item x="68"/>
        <item x="770"/>
        <item x="146"/>
        <item x="718"/>
        <item x="9"/>
        <item x="417"/>
        <item x="771"/>
        <item x="782"/>
        <item x="588"/>
        <item x="810"/>
        <item x="76"/>
        <item x="605"/>
        <item x="179"/>
        <item x="669"/>
        <item x="848"/>
        <item x="231"/>
        <item x="796"/>
        <item x="685"/>
        <item x="426"/>
        <item x="647"/>
        <item x="329"/>
        <item x="125"/>
        <item x="612"/>
        <item x="8"/>
        <item x="215"/>
        <item x="767"/>
        <item x="719"/>
        <item x="108"/>
        <item x="293"/>
        <item x="230"/>
        <item x="677"/>
        <item x="96"/>
        <item x="23"/>
        <item x="578"/>
        <item x="764"/>
        <item x="328"/>
        <item x="577"/>
        <item x="73"/>
        <item x="190"/>
        <item x="890"/>
        <item x="340"/>
        <item x="563"/>
        <item x="141"/>
        <item x="625"/>
        <item x="275"/>
        <item x="262"/>
        <item x="806"/>
        <item x="807"/>
        <item x="723"/>
        <item x="241"/>
        <item x="353"/>
        <item x="615"/>
        <item x="468"/>
        <item x="304"/>
        <item x="153"/>
        <item x="148"/>
        <item x="65"/>
        <item x="726"/>
        <item x="166"/>
        <item x="100"/>
        <item x="218"/>
        <item x="69"/>
        <item x="750"/>
        <item x="157"/>
        <item x="365"/>
        <item x="391"/>
        <item x="701"/>
        <item x="671"/>
        <item x="86"/>
        <item x="242"/>
        <item x="145"/>
        <item x="240"/>
        <item x="560"/>
        <item x="95"/>
        <item x="221"/>
        <item x="284"/>
        <item x="746"/>
        <item x="727"/>
        <item x="344"/>
        <item x="667"/>
        <item x="652"/>
        <item x="662"/>
        <item x="85"/>
        <item x="87"/>
        <item x="18"/>
        <item x="33"/>
        <item x="5"/>
        <item x="713"/>
        <item x="715"/>
        <item x="253"/>
        <item x="769"/>
        <item x="24"/>
        <item x="82"/>
        <item x="209"/>
        <item x="889"/>
        <item x="19"/>
        <item x="604"/>
        <item x="474"/>
        <item x="154"/>
        <item x="167"/>
        <item x="180"/>
        <item x="603"/>
        <item x="130"/>
        <item x="171"/>
        <item x="277"/>
        <item x="851"/>
        <item x="281"/>
        <item x="599"/>
        <item x="534"/>
        <item x="109"/>
        <item x="616"/>
        <item x="332"/>
        <item x="198"/>
        <item x="416"/>
        <item x="267"/>
        <item x="540"/>
        <item x="453"/>
        <item x="551"/>
        <item x="10"/>
        <item x="235"/>
        <item x="54"/>
        <item x="665"/>
        <item x="404"/>
        <item x="326"/>
        <item x="576"/>
        <item x="219"/>
        <item x="554"/>
        <item x="779"/>
        <item x="773"/>
        <item x="394"/>
        <item x="678"/>
        <item x="634"/>
        <item x="591"/>
        <item x="761"/>
        <item x="432"/>
        <item x="683"/>
        <item x="285"/>
        <item x="438"/>
        <item x="84"/>
        <item x="499"/>
        <item x="541"/>
        <item x="34"/>
        <item x="291"/>
        <item x="158"/>
        <item x="71"/>
        <item x="257"/>
        <item x="138"/>
        <item x="56"/>
        <item x="296"/>
        <item x="483"/>
        <item x="342"/>
        <item x="676"/>
        <item x="714"/>
        <item x="412"/>
        <item x="489"/>
        <item x="6"/>
        <item x="445"/>
        <item x="135"/>
        <item x="503"/>
        <item x="592"/>
        <item x="345"/>
        <item x="585"/>
        <item x="651"/>
        <item x="602"/>
        <item x="156"/>
        <item x="341"/>
        <item x="160"/>
        <item x="450"/>
        <item x="637"/>
        <item x="388"/>
        <item x="465"/>
        <item x="132"/>
        <item x="318"/>
        <item x="717"/>
        <item x="724"/>
        <item x="451"/>
        <item x="48"/>
        <item x="62"/>
        <item x="283"/>
        <item x="59"/>
        <item x="297"/>
        <item x="213"/>
        <item x="511"/>
        <item x="352"/>
        <item x="30"/>
        <item x="402"/>
        <item x="51"/>
        <item x="762"/>
        <item x="403"/>
        <item x="203"/>
        <item x="126"/>
        <item x="200"/>
        <item x="89"/>
        <item x="75"/>
        <item x="272"/>
        <item x="379"/>
        <item x="458"/>
        <item x="264"/>
        <item x="323"/>
        <item x="528"/>
        <item x="674"/>
        <item x="386"/>
        <item x="127"/>
        <item x="343"/>
        <item x="561"/>
        <item x="211"/>
        <item x="505"/>
        <item x="7"/>
        <item x="406"/>
        <item x="278"/>
        <item x="195"/>
        <item x="842"/>
        <item x="613"/>
        <item x="375"/>
        <item x="258"/>
        <item x="232"/>
        <item x="800"/>
        <item x="196"/>
        <item x="513"/>
        <item x="660"/>
        <item x="314"/>
        <item x="766"/>
        <item x="66"/>
        <item x="224"/>
        <item x="373"/>
        <item x="494"/>
        <item x="775"/>
        <item x="72"/>
        <item x="22"/>
        <item x="330"/>
        <item x="256"/>
        <item x="12"/>
        <item x="656"/>
        <item x="557"/>
        <item x="580"/>
        <item x="214"/>
        <item x="772"/>
        <item x="99"/>
        <item x="367"/>
        <item x="268"/>
        <item x="716"/>
        <item x="244"/>
        <item x="555"/>
        <item x="545"/>
        <item x="287"/>
        <item x="149"/>
        <item x="228"/>
        <item x="306"/>
        <item x="614"/>
        <item x="383"/>
        <item x="334"/>
        <item x="607"/>
        <item x="395"/>
        <item x="123"/>
        <item x="497"/>
        <item x="459"/>
        <item x="754"/>
        <item x="234"/>
        <item x="27"/>
        <item x="706"/>
        <item x="562"/>
        <item x="273"/>
        <item x="730"/>
        <item x="282"/>
        <item x="276"/>
        <item x="621"/>
        <item x="356"/>
        <item x="476"/>
        <item x="204"/>
        <item x="83"/>
        <item x="237"/>
        <item x="147"/>
        <item x="312"/>
        <item x="239"/>
        <item x="206"/>
        <item x="170"/>
        <item x="463"/>
        <item x="675"/>
        <item x="756"/>
        <item x="392"/>
        <item x="512"/>
        <item x="106"/>
        <item x="142"/>
        <item x="517"/>
        <item x="136"/>
        <item x="448"/>
        <item x="380"/>
        <item x="212"/>
        <item x="220"/>
        <item x="45"/>
        <item x="398"/>
        <item x="36"/>
        <item x="270"/>
        <item x="428"/>
        <item x="542"/>
        <item x="787"/>
        <item x="60"/>
        <item x="725"/>
        <item x="694"/>
        <item x="816"/>
        <item x="490"/>
        <item x="331"/>
        <item x="16"/>
        <item x="597"/>
        <item x="155"/>
        <item x="103"/>
        <item x="377"/>
        <item x="64"/>
        <item x="396"/>
        <item x="319"/>
        <item x="410"/>
        <item x="785"/>
        <item x="808"/>
        <item x="710"/>
        <item x="251"/>
        <item x="210"/>
        <item x="20"/>
        <item x="259"/>
        <item x="324"/>
        <item x="193"/>
        <item x="229"/>
        <item x="737"/>
        <item x="420"/>
        <item x="93"/>
        <item x="97"/>
        <item x="797"/>
        <item x="452"/>
        <item x="350"/>
        <item x="606"/>
        <item x="471"/>
        <item x="524"/>
        <item x="124"/>
        <item x="795"/>
        <item x="387"/>
        <item x="688"/>
        <item x="274"/>
        <item x="657"/>
        <item x="119"/>
        <item x="194"/>
        <item x="111"/>
        <item x="164"/>
        <item x="174"/>
        <item x="302"/>
        <item x="707"/>
        <item x="549"/>
        <item x="751"/>
        <item x="765"/>
        <item x="575"/>
        <item x="748"/>
        <item x="40"/>
        <item x="668"/>
        <item x="182"/>
        <item x="455"/>
        <item x="168"/>
        <item x="205"/>
        <item x="632"/>
        <item x="115"/>
        <item x="49"/>
        <item x="362"/>
        <item x="385"/>
        <item x="805"/>
        <item x="414"/>
        <item x="763"/>
        <item x="720"/>
        <item x="423"/>
        <item x="317"/>
        <item x="466"/>
        <item x="608"/>
        <item x="143"/>
        <item x="504"/>
        <item x="424"/>
        <item x="650"/>
        <item x="327"/>
        <item x="140"/>
        <item x="305"/>
        <item x="434"/>
        <item x="573"/>
        <item x="780"/>
        <item x="629"/>
        <item x="755"/>
        <item x="92"/>
        <item x="789"/>
        <item x="359"/>
        <item x="622"/>
        <item x="536"/>
        <item x="670"/>
        <item x="67"/>
        <item x="568"/>
        <item x="801"/>
        <item x="623"/>
        <item x="556"/>
        <item x="749"/>
        <item x="699"/>
        <item x="689"/>
        <item x="243"/>
        <item x="177"/>
        <item x="269"/>
        <item x="265"/>
        <item x="691"/>
        <item x="702"/>
        <item x="740"/>
        <item x="633"/>
        <item x="745"/>
        <item x="488"/>
        <item x="803"/>
        <item x="519"/>
        <item x="630"/>
        <item x="653"/>
        <item x="137"/>
        <item x="495"/>
        <item x="638"/>
        <item x="790"/>
        <item x="666"/>
        <item x="299"/>
        <item x="798"/>
        <item x="529"/>
        <item x="418"/>
        <item x="804"/>
        <item x="768"/>
        <item x="692"/>
        <item x="366"/>
        <item x="794"/>
        <item x="546"/>
        <item x="506"/>
        <item x="485"/>
        <item x="176"/>
        <item x="593"/>
        <item x="112"/>
        <item x="527"/>
        <item x="378"/>
        <item x="525"/>
        <item x="63"/>
        <item x="442"/>
        <item x="61"/>
        <item x="700"/>
        <item x="587"/>
        <item x="14"/>
        <item x="783"/>
        <item x="558"/>
        <item x="390"/>
        <item x="437"/>
        <item x="788"/>
        <item x="477"/>
        <item x="94"/>
        <item x="741"/>
        <item x="57"/>
        <item x="693"/>
        <item x="303"/>
        <item x="579"/>
        <item x="185"/>
        <item x="15"/>
        <item x="473"/>
        <item x="139"/>
        <item x="729"/>
        <item x="301"/>
        <item x="422"/>
        <item x="294"/>
        <item x="245"/>
        <item x="361"/>
        <item x="427"/>
        <item x="447"/>
        <item x="37"/>
        <item x="778"/>
        <item x="110"/>
        <item x="566"/>
        <item x="475"/>
        <item x="247"/>
        <item x="712"/>
        <item x="29"/>
        <item x="567"/>
        <item x="300"/>
        <item x="516"/>
        <item x="421"/>
        <item x="636"/>
        <item x="360"/>
        <item x="17"/>
        <item x="491"/>
        <item x="292"/>
        <item x="521"/>
        <item x="271"/>
        <item x="620"/>
        <item x="35"/>
        <item x="646"/>
        <item x="175"/>
        <item x="543"/>
        <item x="664"/>
        <item x="738"/>
        <item x="462"/>
        <item x="208"/>
        <item x="703"/>
        <item x="43"/>
        <item x="88"/>
        <item x="654"/>
        <item x="393"/>
        <item x="201"/>
        <item x="117"/>
        <item x="52"/>
        <item x="368"/>
        <item x="163"/>
        <item x="128"/>
        <item x="469"/>
        <item x="320"/>
        <item x="207"/>
        <item x="518"/>
        <item x="308"/>
        <item x="791"/>
        <item x="601"/>
        <item x="133"/>
        <item x="307"/>
        <item x="105"/>
        <item x="113"/>
        <item x="238"/>
        <item x="758"/>
        <item x="249"/>
        <item x="181"/>
        <item x="641"/>
        <item x="183"/>
        <item x="570"/>
        <item x="101"/>
        <item x="165"/>
        <item x="680"/>
        <item x="38"/>
        <item x="619"/>
        <item x="501"/>
        <item x="311"/>
        <item x="227"/>
        <item x="565"/>
        <item x="553"/>
        <item x="472"/>
        <item x="346"/>
        <item x="618"/>
        <item x="255"/>
        <item x="363"/>
        <item x="409"/>
        <item x="159"/>
        <item x="523"/>
        <item x="197"/>
        <item x="760"/>
        <item x="480"/>
        <item x="104"/>
        <item x="290"/>
        <item x="449"/>
        <item x="411"/>
        <item x="260"/>
        <item x="405"/>
        <item x="351"/>
        <item x="315"/>
        <item x="571"/>
        <item x="682"/>
        <item x="187"/>
        <item x="686"/>
        <item x="643"/>
        <item x="461"/>
        <item x="25"/>
        <item x="431"/>
        <item x="349"/>
        <item x="289"/>
        <item x="389"/>
        <item x="514"/>
        <item x="107"/>
        <item x="695"/>
        <item x="223"/>
        <item x="734"/>
        <item x="28"/>
        <item x="626"/>
        <item x="347"/>
        <item x="661"/>
        <item x="408"/>
        <item x="679"/>
        <item x="172"/>
        <item x="464"/>
        <item x="743"/>
        <item x="226"/>
        <item x="697"/>
        <item x="709"/>
        <item x="639"/>
        <item x="407"/>
        <item x="598"/>
        <item x="225"/>
        <item x="733"/>
        <item x="583"/>
        <item x="548"/>
        <item x="532"/>
        <item x="776"/>
        <item x="286"/>
        <item x="687"/>
        <item x="857"/>
        <item x="681"/>
        <item x="663"/>
        <item x="596"/>
        <item x="31"/>
        <item x="348"/>
        <item x="627"/>
        <item x="114"/>
        <item x="522"/>
        <item x="266"/>
        <item x="515"/>
        <item x="116"/>
        <item x="460"/>
        <item x="357"/>
        <item x="11"/>
        <item x="39"/>
        <item x="288"/>
        <item x="91"/>
        <item x="728"/>
        <item x="659"/>
        <item x="550"/>
        <item x="617"/>
        <item x="850"/>
        <item x="498"/>
        <item x="574"/>
        <item x="711"/>
        <item x="246"/>
        <item x="254"/>
        <item x="774"/>
        <item x="162"/>
        <item x="98"/>
        <item x="757"/>
        <item x="121"/>
        <item x="564"/>
        <item x="478"/>
        <item x="777"/>
        <item x="184"/>
        <item x="429"/>
        <item x="786"/>
        <item x="322"/>
        <item x="178"/>
        <item x="41"/>
        <item x="444"/>
        <item x="47"/>
        <item x="446"/>
        <item x="161"/>
        <item x="600"/>
        <item x="644"/>
        <item x="595"/>
        <item x="742"/>
        <item x="802"/>
        <item x="624"/>
        <item x="90"/>
        <item x="44"/>
        <item x="309"/>
        <item x="122"/>
        <item x="441"/>
        <item x="747"/>
        <item x="631"/>
        <item x="781"/>
        <item x="118"/>
        <item x="584"/>
        <item x="192"/>
        <item x="759"/>
        <item x="435"/>
        <item x="248"/>
        <item x="382"/>
        <item x="569"/>
        <item x="479"/>
        <item x="658"/>
        <item x="250"/>
        <item x="233"/>
        <item x="58"/>
        <item x="844"/>
        <item x="370"/>
        <item x="649"/>
        <item x="131"/>
        <item x="13"/>
        <item x="530"/>
        <item x="582"/>
        <item x="134"/>
        <item x="696"/>
        <item x="732"/>
        <item x="581"/>
        <item x="202"/>
        <item x="482"/>
        <item x="21"/>
        <item x="186"/>
        <item x="493"/>
        <item x="481"/>
        <item x="690"/>
        <item x="590"/>
        <item x="415"/>
        <item x="533"/>
        <item x="642"/>
        <item x="316"/>
        <item x="648"/>
        <item x="640"/>
        <item x="310"/>
        <item x="736"/>
        <item x="372"/>
        <item x="708"/>
        <item x="191"/>
        <item x="520"/>
        <item x="354"/>
        <item x="371"/>
        <item x="496"/>
        <item x="55"/>
        <item x="369"/>
        <item x="188"/>
        <item x="705"/>
        <item x="261"/>
        <item x="531"/>
        <item x="263"/>
        <item x="436"/>
        <item x="169"/>
        <item x="384"/>
        <item x="236"/>
        <item x="589"/>
        <item x="552"/>
        <item x="538"/>
        <item x="467"/>
        <item x="500"/>
        <item x="539"/>
        <item x="295"/>
        <item x="684"/>
        <item x="486"/>
        <item x="487"/>
        <item x="325"/>
        <item x="792"/>
        <item x="102"/>
        <item x="199"/>
        <item x="628"/>
        <item x="443"/>
        <item x="547"/>
        <item x="376"/>
        <item x="753"/>
        <item x="572"/>
        <item x="430"/>
        <item x="470"/>
        <item x="419"/>
        <item x="655"/>
        <item x="799"/>
        <item x="26"/>
        <item x="704"/>
        <item x="594"/>
        <item x="173"/>
        <item x="53"/>
        <item x="298"/>
        <item x="358"/>
        <item x="129"/>
        <item x="784"/>
        <item x="439"/>
        <item x="46"/>
        <item x="492"/>
        <item x="544"/>
        <item x="381"/>
        <item x="752"/>
        <item x="735"/>
        <item x="321"/>
        <item x="645"/>
        <item x="793"/>
        <item x="698"/>
        <item x="120"/>
        <item x="374"/>
        <item x="313"/>
        <item x="586"/>
        <item x="484"/>
        <item x="189"/>
        <item x="535"/>
        <item x="744"/>
        <item x="433"/>
        <item x="252"/>
        <item x="4"/>
        <item x="81"/>
        <item x="152"/>
        <item x="217"/>
        <item x="280"/>
        <item x="339"/>
        <item x="401"/>
        <item x="457"/>
        <item x="510"/>
        <item x="559"/>
        <item x="611"/>
        <item x="673"/>
        <item x="722"/>
        <item x="812"/>
        <item x="820"/>
        <item x="826"/>
        <item x="831"/>
        <item x="853"/>
        <item x="821"/>
        <item x="827"/>
        <item x="832"/>
        <item x="840"/>
        <item x="845"/>
        <item x="849"/>
        <item x="813"/>
        <item x="822"/>
        <item x="833"/>
        <item x="841"/>
        <item x="828"/>
        <item x="837"/>
        <item x="846"/>
        <item x="814"/>
        <item x="823"/>
        <item x="829"/>
        <item x="834"/>
        <item x="811"/>
        <item x="815"/>
        <item x="818"/>
        <item x="830"/>
        <item x="835"/>
        <item x="838"/>
        <item x="824"/>
        <item x="825"/>
        <item x="836"/>
        <item x="843"/>
        <item x="817"/>
        <item x="852"/>
        <item x="819"/>
        <item x="839"/>
        <item x="847"/>
        <item x="855"/>
        <item x="863"/>
        <item x="869"/>
        <item x="854"/>
        <item x="856"/>
        <item x="870"/>
        <item x="872"/>
        <item x="877"/>
        <item x="879"/>
        <item x="883"/>
        <item x="885"/>
        <item x="861"/>
        <item x="864"/>
        <item x="873"/>
        <item x="880"/>
        <item x="886"/>
        <item x="888"/>
        <item x="865"/>
        <item x="858"/>
        <item x="866"/>
        <item x="871"/>
        <item x="874"/>
        <item x="881"/>
        <item x="893"/>
        <item x="859"/>
        <item x="867"/>
        <item x="868"/>
        <item x="875"/>
        <item x="891"/>
        <item x="892"/>
        <item x="860"/>
        <item x="876"/>
        <item x="882"/>
        <item x="862"/>
        <item x="878"/>
        <item x="884"/>
        <item x="887"/>
        <item x="907"/>
        <item x="912"/>
        <item x="921"/>
        <item x="933"/>
        <item x="901"/>
        <item x="913"/>
        <item x="922"/>
        <item x="929"/>
        <item x="936"/>
        <item x="898"/>
        <item x="908"/>
        <item x="918"/>
        <item x="894"/>
        <item x="902"/>
        <item x="914"/>
        <item x="923"/>
        <item x="930"/>
        <item x="934"/>
        <item x="903"/>
        <item x="909"/>
        <item x="915"/>
        <item x="895"/>
        <item x="899"/>
        <item x="904"/>
        <item x="910"/>
        <item x="919"/>
        <item x="924"/>
        <item x="931"/>
        <item x="896"/>
        <item x="905"/>
        <item x="906"/>
        <item x="911"/>
        <item x="916"/>
        <item x="925"/>
        <item x="932"/>
        <item x="935"/>
        <item x="897"/>
        <item x="917"/>
        <item x="926"/>
        <item x="900"/>
        <item x="920"/>
        <item x="927"/>
        <item x="928"/>
        <item x="938"/>
        <item x="947"/>
        <item x="953"/>
        <item x="957"/>
        <item x="962"/>
        <item x="969"/>
        <item x="973"/>
        <item x="937"/>
        <item x="948"/>
        <item x="963"/>
        <item x="970"/>
        <item x="944"/>
        <item x="939"/>
        <item x="940"/>
        <item x="949"/>
        <item x="958"/>
        <item x="964"/>
        <item x="971"/>
        <item x="974"/>
        <item x="941"/>
        <item x="954"/>
        <item x="960"/>
        <item x="945"/>
        <item x="950"/>
        <item x="955"/>
        <item x="959"/>
        <item x="961"/>
        <item x="965"/>
        <item x="972"/>
        <item x="975"/>
        <item x="942"/>
        <item x="951"/>
        <item x="952"/>
        <item x="956"/>
        <item x="943"/>
        <item x="966"/>
        <item x="946"/>
        <item x="967"/>
        <item x="968"/>
        <item x="977"/>
        <item x="984"/>
        <item x="989"/>
        <item x="993"/>
        <item x="1007"/>
        <item x="976"/>
        <item x="985"/>
        <item x="994"/>
        <item x="999"/>
        <item x="1008"/>
        <item x="1014"/>
        <item x="990"/>
        <item x="978"/>
        <item x="995"/>
        <item x="1003"/>
        <item x="1009"/>
        <item x="1012"/>
        <item x="986"/>
        <item x="996"/>
        <item x="1000"/>
        <item x="979"/>
        <item x="982"/>
        <item x="991"/>
        <item x="1001"/>
        <item x="980"/>
        <item x="987"/>
        <item x="988"/>
        <item x="992"/>
        <item x="997"/>
        <item x="1004"/>
        <item x="1011"/>
        <item x="1013"/>
        <item x="998"/>
        <item x="1005"/>
        <item x="981"/>
        <item x="983"/>
        <item x="1002"/>
        <item x="1006"/>
        <item x="1010"/>
        <item x="1016"/>
        <item x="1026"/>
        <item x="1032"/>
        <item x="1036"/>
        <item x="1042"/>
        <item x="1049"/>
        <item x="1015"/>
        <item x="1017"/>
        <item x="1027"/>
        <item x="1033"/>
        <item x="1043"/>
        <item x="1023"/>
        <item x="1034"/>
        <item x="1018"/>
        <item x="1028"/>
        <item x="1037"/>
        <item x="1044"/>
        <item x="1047"/>
        <item x="1050"/>
        <item x="1029"/>
        <item x="1019"/>
        <item x="1024"/>
        <item x="1030"/>
        <item x="1035"/>
        <item x="1040"/>
        <item x="1020"/>
        <item x="1031"/>
        <item x="1038"/>
        <item x="1021"/>
        <item x="1039"/>
        <item x="1045"/>
        <item x="1022"/>
        <item x="1025"/>
        <item x="1041"/>
        <item x="1046"/>
        <item x="1048"/>
        <item x="1052"/>
        <item x="1068"/>
        <item x="1072"/>
        <item x="1089"/>
        <item x="1051"/>
        <item x="1053"/>
        <item x="1063"/>
        <item x="1069"/>
        <item x="1073"/>
        <item x="1087"/>
        <item x="1091"/>
        <item x="1093"/>
        <item x="1060"/>
        <item x="1054"/>
        <item x="1070"/>
        <item x="1077"/>
        <item x="1055"/>
        <item x="1064"/>
        <item x="1074"/>
        <item x="1080"/>
        <item x="1092"/>
        <item x="1065"/>
        <item x="1078"/>
        <item x="1081"/>
        <item x="1056"/>
        <item x="1061"/>
        <item x="1066"/>
        <item x="1075"/>
        <item x="1082"/>
        <item x="1090"/>
        <item x="1057"/>
        <item x="1067"/>
        <item x="1071"/>
        <item x="1083"/>
        <item x="1058"/>
        <item x="1076"/>
        <item x="1084"/>
        <item x="1059"/>
        <item x="1062"/>
        <item x="1079"/>
        <item x="1085"/>
        <item x="1086"/>
        <item x="1088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t="default"/>
      </items>
    </pivotField>
    <pivotField compact="0" outline="0" showAll="0"/>
    <pivotField compact="0" outline="0" showAll="0"/>
  </pivotFields>
  <rowFields count="2">
    <field x="3"/>
    <field x="4"/>
  </rowFields>
  <rowItems count="144">
    <i>
      <x/>
      <x v="1"/>
    </i>
    <i r="1">
      <x v="3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6"/>
    </i>
    <i r="1">
      <x v="19"/>
    </i>
    <i r="1">
      <x v="21"/>
    </i>
    <i r="1">
      <x v="24"/>
    </i>
    <i r="1">
      <x v="29"/>
    </i>
    <i r="1">
      <x v="30"/>
    </i>
    <i t="default">
      <x/>
    </i>
    <i>
      <x v="1"/>
      <x/>
    </i>
    <i r="1">
      <x v="2"/>
    </i>
    <i r="1">
      <x v="4"/>
    </i>
    <i r="1">
      <x v="6"/>
    </i>
    <i r="1">
      <x v="7"/>
    </i>
    <i r="1">
      <x v="12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t="default">
      <x v="1"/>
    </i>
    <i>
      <x v="2"/>
      <x v="5"/>
    </i>
    <i r="1">
      <x v="8"/>
    </i>
    <i r="1">
      <x v="12"/>
    </i>
    <i r="1">
      <x v="15"/>
    </i>
    <i r="1">
      <x v="16"/>
    </i>
    <i r="1">
      <x v="17"/>
    </i>
    <i r="1">
      <x v="19"/>
    </i>
    <i r="1">
      <x v="20"/>
    </i>
    <i t="default">
      <x v="2"/>
    </i>
    <i>
      <x v="3"/>
      <x v="7"/>
    </i>
    <i r="1">
      <x v="15"/>
    </i>
    <i r="1">
      <x v="17"/>
    </i>
    <i r="1">
      <x v="20"/>
    </i>
    <i t="default">
      <x v="3"/>
    </i>
    <i>
      <x v="4"/>
      <x v="2"/>
    </i>
    <i r="1">
      <x v="6"/>
    </i>
    <i r="1">
      <x v="7"/>
    </i>
    <i r="1">
      <x v="12"/>
    </i>
    <i r="1">
      <x v="14"/>
    </i>
    <i r="1">
      <x v="16"/>
    </i>
    <i r="1">
      <x v="19"/>
    </i>
    <i r="1">
      <x v="21"/>
    </i>
    <i r="1">
      <x v="24"/>
    </i>
    <i r="1">
      <x v="26"/>
    </i>
    <i r="1">
      <x v="30"/>
    </i>
    <i r="1">
      <x v="31"/>
    </i>
    <i r="1">
      <x v="33"/>
    </i>
    <i t="default">
      <x v="4"/>
    </i>
    <i>
      <x v="5"/>
      <x v="4"/>
    </i>
    <i r="1">
      <x v="7"/>
    </i>
    <i r="1">
      <x v="12"/>
    </i>
    <i r="1">
      <x v="15"/>
    </i>
    <i r="1">
      <x v="16"/>
    </i>
    <i r="1">
      <x v="17"/>
    </i>
    <i r="1">
      <x v="19"/>
    </i>
    <i r="1">
      <x v="24"/>
    </i>
    <i t="default">
      <x v="5"/>
    </i>
    <i>
      <x v="6"/>
      <x/>
    </i>
    <i r="1">
      <x v="4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1"/>
    </i>
    <i r="1">
      <x v="23"/>
    </i>
    <i r="1">
      <x v="24"/>
    </i>
    <i r="1">
      <x v="27"/>
    </i>
    <i r="1">
      <x v="29"/>
    </i>
    <i r="1">
      <x v="30"/>
    </i>
    <i r="1">
      <x v="34"/>
    </i>
    <i t="default">
      <x v="6"/>
    </i>
    <i>
      <x v="7"/>
      <x v="7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3"/>
    </i>
    <i r="1">
      <x v="25"/>
    </i>
    <i r="1">
      <x v="26"/>
    </i>
    <i r="1">
      <x v="29"/>
    </i>
    <i r="1">
      <x v="31"/>
    </i>
    <i r="1">
      <x v="35"/>
    </i>
    <i r="1">
      <x v="36"/>
    </i>
    <i r="1">
      <x v="37"/>
    </i>
    <i t="default">
      <x v="7"/>
    </i>
    <i>
      <x v="8"/>
      <x v="7"/>
    </i>
    <i r="1">
      <x v="9"/>
    </i>
    <i r="1">
      <x v="12"/>
    </i>
    <i r="1">
      <x v="14"/>
    </i>
    <i r="1">
      <x v="16"/>
    </i>
    <i r="1">
      <x v="18"/>
    </i>
    <i r="1">
      <x v="19"/>
    </i>
    <i r="1">
      <x v="21"/>
    </i>
    <i r="1">
      <x v="23"/>
    </i>
    <i r="1">
      <x v="24"/>
    </i>
    <i r="1">
      <x v="26"/>
    </i>
    <i r="1">
      <x v="29"/>
    </i>
    <i r="1">
      <x v="30"/>
    </i>
    <i r="1">
      <x v="33"/>
    </i>
    <i r="1">
      <x v="38"/>
    </i>
    <i t="default">
      <x v="8"/>
    </i>
    <i>
      <x v="9"/>
      <x v="7"/>
    </i>
    <i r="1">
      <x v="9"/>
    </i>
    <i r="1">
      <x v="10"/>
    </i>
    <i r="1">
      <x v="11"/>
    </i>
    <i r="1">
      <x v="13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8"/>
    </i>
    <i r="1">
      <x v="30"/>
    </i>
    <i r="1">
      <x v="39"/>
    </i>
    <i t="default">
      <x v="9"/>
    </i>
    <i t="grand">
      <x/>
    </i>
  </rowItems>
  <colFields count="1">
    <field x="2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colItems>
  <pageFields count="3">
    <pageField fld="0" hier="-1"/>
    <pageField fld="1" hier="-1"/>
    <pageField fld="6" hier="-1"/>
  </pageFields>
  <dataFields count="1">
    <dataField name="求和项:Shipment(K)" fld="5" baseField="0" baseItem="0"/>
  </dataFields>
  <formats count="32">
    <format dxfId="48">
      <pivotArea type="all" dataOnly="0" outline="0" fieldPosition="0"/>
    </format>
    <format dxfId="47">
      <pivotArea dataOnly="0" labelOnly="1" grandCol="1" outline="0" fieldPosition="0"/>
    </format>
    <format dxfId="46">
      <pivotArea type="all" dataOnly="0" outline="0" fieldPosition="0"/>
    </format>
    <format dxfId="45">
      <pivotArea dataOnly="0" labelOnly="1" grandCol="1" outline="0" fieldPosition="0"/>
    </format>
    <format dxfId="44">
      <pivotArea outline="0" fieldPosition="0">
        <references count="1">
          <reference field="3" count="1" selected="0" defaultSubtotal="1">
            <x v="9"/>
          </reference>
        </references>
      </pivotArea>
    </format>
    <format dxfId="43">
      <pivotArea grandRow="1" outline="0" collapsedLevelsAreSubtotals="1" fieldPosition="0"/>
    </format>
    <format dxfId="42">
      <pivotArea outline="0" fieldPosition="0">
        <references count="1">
          <reference field="3" count="1" selected="0" defaultSubtotal="1">
            <x v="8"/>
          </reference>
        </references>
      </pivotArea>
    </format>
    <format dxfId="41">
      <pivotArea outline="0" fieldPosition="0">
        <references count="1">
          <reference field="3" count="1" selected="0" defaultSubtotal="1">
            <x v="7"/>
          </reference>
        </references>
      </pivotArea>
    </format>
    <format dxfId="40">
      <pivotArea outline="0" fieldPosition="0">
        <references count="1">
          <reference field="3" count="1" selected="0" defaultSubtotal="1">
            <x v="6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2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3" type="button" dataOnly="0" labelOnly="1" outline="0" axis="axisRow" fieldPosition="0"/>
    </format>
    <format dxfId="33">
      <pivotArea field="4" type="button" dataOnly="0" labelOnly="1" outline="0" axis="axisRow" fieldPosition="1"/>
    </format>
    <format dxfId="32">
      <pivotArea dataOnly="0" labelOnly="1" outline="0" fieldPosition="0">
        <references count="1">
          <reference field="3" count="0"/>
        </references>
      </pivotArea>
    </format>
    <format dxfId="31">
      <pivotArea dataOnly="0" labelOnly="1" outline="0" fieldPosition="0">
        <references count="1">
          <reference field="3" count="0" defaultSubtotal="1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2" count="0"/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2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3" type="button" dataOnly="0" labelOnly="1" outline="0" axis="axisRow" fieldPosition="0"/>
    </format>
    <format dxfId="22">
      <pivotArea field="4" type="button" dataOnly="0" labelOnly="1" outline="0" axis="axisRow" fieldPosition="1"/>
    </format>
    <format dxfId="21">
      <pivotArea dataOnly="0" labelOnly="1" outline="0" fieldPosition="0">
        <references count="1">
          <reference field="3" count="0"/>
        </references>
      </pivotArea>
    </format>
    <format dxfId="20">
      <pivotArea dataOnly="0" labelOnly="1" outline="0" fieldPosition="0">
        <references count="1">
          <reference field="3" count="0" defaultSubtotal="1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2" count="0"/>
        </references>
      </pivotArea>
    </format>
    <format dxfId="17">
      <pivotArea dataOnly="0" labelOnly="1" outline="0" fieldPosition="0">
        <references count="1">
          <reference field="2" count="0"/>
        </references>
      </pivotArea>
    </format>
  </formats>
  <pivotTableStyleInfo name="数据透视表样式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数据透视表14" cacheId="2" applyNumberFormats="0" applyBorderFormats="0" applyFontFormats="0" applyPatternFormats="0" applyAlignmentFormats="0" applyWidthHeightFormats="1" dataCaption="值" updatedVersion="7" minRefreshableVersion="3" useAutoFormatting="1" colGrandTotals="0" itemPrintTitles="1" createdVersion="6" indent="0" compact="0" compactData="0" gridDropZones="1" multipleFieldFilters="0">
  <location ref="B7:AC152" firstHeaderRow="1" firstDataRow="2" firstDataCol="2" rowPageCount="3" colPageCount="1"/>
  <pivotFields count="9"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compact="0" outline="0" showAll="0">
      <items count="11">
        <item x="2"/>
        <item x="0"/>
        <item x="5"/>
        <item x="6"/>
        <item x="3"/>
        <item x="4"/>
        <item x="1"/>
        <item x="7"/>
        <item x="8"/>
        <item x="9"/>
        <item t="default"/>
      </items>
    </pivotField>
    <pivotField axis="axisRow" compact="0" outline="0"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2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axis="axisPage" compact="0" outline="0" showAll="0">
      <items count="598">
        <item x="28"/>
        <item x="170"/>
        <item x="201"/>
        <item x="247"/>
        <item x="203"/>
        <item x="265"/>
        <item x="45"/>
        <item x="59"/>
        <item x="143"/>
        <item x="199"/>
        <item x="38"/>
        <item x="168"/>
        <item x="105"/>
        <item x="2"/>
        <item x="57"/>
        <item x="0"/>
        <item x="60"/>
        <item x="129"/>
        <item x="200"/>
        <item x="61"/>
        <item x="84"/>
        <item x="302"/>
        <item x="223"/>
        <item x="283"/>
        <item x="1"/>
        <item x="7"/>
        <item x="75"/>
        <item x="198"/>
        <item x="135"/>
        <item x="62"/>
        <item x="48"/>
        <item x="244"/>
        <item x="304"/>
        <item x="169"/>
        <item x="108"/>
        <item x="29"/>
        <item x="364"/>
        <item x="50"/>
        <item x="142"/>
        <item x="422"/>
        <item x="53"/>
        <item x="202"/>
        <item x="139"/>
        <item x="85"/>
        <item x="99"/>
        <item x="58"/>
        <item x="107"/>
        <item x="137"/>
        <item x="299"/>
        <item x="20"/>
        <item x="196"/>
        <item x="171"/>
        <item x="192"/>
        <item x="3"/>
        <item x="382"/>
        <item x="224"/>
        <item x="17"/>
        <item x="95"/>
        <item x="30"/>
        <item x="106"/>
        <item x="245"/>
        <item x="246"/>
        <item x="74"/>
        <item x="231"/>
        <item x="133"/>
        <item x="165"/>
        <item x="102"/>
        <item x="56"/>
        <item x="66"/>
        <item x="16"/>
        <item x="384"/>
        <item x="305"/>
        <item x="361"/>
        <item x="190"/>
        <item x="65"/>
        <item x="331"/>
        <item x="284"/>
        <item x="94"/>
        <item x="279"/>
        <item x="179"/>
        <item x="365"/>
        <item x="407"/>
        <item x="264"/>
        <item x="109"/>
        <item x="417"/>
        <item x="363"/>
        <item x="26"/>
        <item x="104"/>
        <item x="8"/>
        <item x="218"/>
        <item x="158"/>
        <item x="328"/>
        <item x="383"/>
        <item x="41"/>
        <item x="367"/>
        <item x="334"/>
        <item x="379"/>
        <item x="55"/>
        <item x="172"/>
        <item x="103"/>
        <item x="176"/>
        <item x="4"/>
        <item x="132"/>
        <item x="54"/>
        <item x="32"/>
        <item x="237"/>
        <item x="19"/>
        <item x="330"/>
        <item x="141"/>
        <item x="380"/>
        <item x="23"/>
        <item x="78"/>
        <item x="140"/>
        <item x="303"/>
        <item x="154"/>
        <item x="385"/>
        <item x="156"/>
        <item x="342"/>
        <item x="263"/>
        <item x="51"/>
        <item x="152"/>
        <item x="362"/>
        <item x="68"/>
        <item x="281"/>
        <item x="406"/>
        <item x="36"/>
        <item x="282"/>
        <item x="343"/>
        <item x="326"/>
        <item x="81"/>
        <item x="46"/>
        <item x="96"/>
        <item x="193"/>
        <item x="341"/>
        <item x="373"/>
        <item x="100"/>
        <item x="268"/>
        <item x="354"/>
        <item x="146"/>
        <item x="184"/>
        <item x="297"/>
        <item x="10"/>
        <item x="64"/>
        <item x="389"/>
        <item x="134"/>
        <item x="277"/>
        <item x="157"/>
        <item x="333"/>
        <item x="320"/>
        <item x="376"/>
        <item x="356"/>
        <item x="205"/>
        <item x="118"/>
        <item x="182"/>
        <item x="280"/>
        <item x="291"/>
        <item x="150"/>
        <item x="5"/>
        <item x="262"/>
        <item x="87"/>
        <item x="318"/>
        <item x="76"/>
        <item x="216"/>
        <item x="204"/>
        <item x="39"/>
        <item x="90"/>
        <item x="235"/>
        <item x="167"/>
        <item x="357"/>
        <item x="125"/>
        <item x="377"/>
        <item x="243"/>
        <item x="315"/>
        <item x="159"/>
        <item x="292"/>
        <item x="33"/>
        <item x="160"/>
        <item x="338"/>
        <item x="266"/>
        <item x="188"/>
        <item x="120"/>
        <item x="236"/>
        <item x="86"/>
        <item x="255"/>
        <item x="319"/>
        <item x="316"/>
        <item x="195"/>
        <item x="31"/>
        <item x="127"/>
        <item x="323"/>
        <item x="185"/>
        <item x="14"/>
        <item x="285"/>
        <item x="301"/>
        <item x="88"/>
        <item x="278"/>
        <item x="6"/>
        <item x="359"/>
        <item x="123"/>
        <item x="228"/>
        <item x="34"/>
        <item x="294"/>
        <item x="122"/>
        <item x="375"/>
        <item x="183"/>
        <item x="329"/>
        <item x="52"/>
        <item x="405"/>
        <item x="72"/>
        <item x="98"/>
        <item x="234"/>
        <item x="101"/>
        <item x="215"/>
        <item x="138"/>
        <item x="209"/>
        <item x="25"/>
        <item x="181"/>
        <item x="416"/>
        <item x="233"/>
        <item x="214"/>
        <item x="346"/>
        <item x="366"/>
        <item x="164"/>
        <item x="119"/>
        <item x="49"/>
        <item x="345"/>
        <item x="355"/>
        <item x="92"/>
        <item x="166"/>
        <item x="222"/>
        <item x="274"/>
        <item x="306"/>
        <item x="44"/>
        <item x="89"/>
        <item x="197"/>
        <item x="155"/>
        <item x="35"/>
        <item x="136"/>
        <item x="79"/>
        <item x="242"/>
        <item x="40"/>
        <item x="254"/>
        <item x="93"/>
        <item x="217"/>
        <item x="63"/>
        <item x="295"/>
        <item x="276"/>
        <item x="131"/>
        <item x="71"/>
        <item x="241"/>
        <item x="310"/>
        <item x="256"/>
        <item x="82"/>
        <item x="162"/>
        <item x="332"/>
        <item x="325"/>
        <item x="267"/>
        <item x="124"/>
        <item x="238"/>
        <item x="327"/>
        <item x="21"/>
        <item x="381"/>
        <item x="37"/>
        <item x="83"/>
        <item x="344"/>
        <item x="351"/>
        <item x="298"/>
        <item x="24"/>
        <item x="191"/>
        <item x="144"/>
        <item x="300"/>
        <item x="47"/>
        <item x="358"/>
        <item x="130"/>
        <item x="347"/>
        <item x="97"/>
        <item x="397"/>
        <item x="186"/>
        <item x="312"/>
        <item x="27"/>
        <item x="313"/>
        <item x="261"/>
        <item x="275"/>
        <item x="161"/>
        <item x="257"/>
        <item x="110"/>
        <item x="212"/>
        <item x="259"/>
        <item x="260"/>
        <item x="12"/>
        <item x="293"/>
        <item x="339"/>
        <item x="402"/>
        <item x="73"/>
        <item x="126"/>
        <item x="13"/>
        <item x="290"/>
        <item x="322"/>
        <item x="349"/>
        <item x="321"/>
        <item x="187"/>
        <item x="221"/>
        <item x="219"/>
        <item x="370"/>
        <item x="194"/>
        <item x="287"/>
        <item x="288"/>
        <item x="271"/>
        <item x="374"/>
        <item x="121"/>
        <item x="15"/>
        <item x="177"/>
        <item x="309"/>
        <item x="250"/>
        <item x="67"/>
        <item x="114"/>
        <item x="77"/>
        <item x="388"/>
        <item x="272"/>
        <item x="317"/>
        <item x="42"/>
        <item x="239"/>
        <item x="115"/>
        <item x="335"/>
        <item x="308"/>
        <item x="149"/>
        <item x="286"/>
        <item x="206"/>
        <item x="307"/>
        <item x="227"/>
        <item x="311"/>
        <item x="111"/>
        <item x="353"/>
        <item x="175"/>
        <item x="229"/>
        <item x="371"/>
        <item x="225"/>
        <item x="210"/>
        <item x="336"/>
        <item x="249"/>
        <item x="289"/>
        <item x="208"/>
        <item x="153"/>
        <item x="151"/>
        <item x="174"/>
        <item x="269"/>
        <item x="145"/>
        <item x="324"/>
        <item x="378"/>
        <item x="340"/>
        <item x="91"/>
        <item x="226"/>
        <item x="220"/>
        <item x="251"/>
        <item x="148"/>
        <item x="350"/>
        <item x="18"/>
        <item x="189"/>
        <item x="147"/>
        <item x="296"/>
        <item x="230"/>
        <item x="258"/>
        <item x="128"/>
        <item x="368"/>
        <item x="80"/>
        <item x="409"/>
        <item x="314"/>
        <item x="273"/>
        <item x="211"/>
        <item x="207"/>
        <item x="360"/>
        <item x="240"/>
        <item x="270"/>
        <item x="116"/>
        <item x="248"/>
        <item x="9"/>
        <item x="173"/>
        <item x="70"/>
        <item x="252"/>
        <item x="348"/>
        <item x="253"/>
        <item x="178"/>
        <item x="337"/>
        <item x="232"/>
        <item x="113"/>
        <item x="22"/>
        <item x="369"/>
        <item x="163"/>
        <item x="117"/>
        <item x="180"/>
        <item x="213"/>
        <item x="372"/>
        <item x="112"/>
        <item x="69"/>
        <item x="352"/>
        <item x="11"/>
        <item x="43"/>
        <item x="390"/>
        <item x="394"/>
        <item x="398"/>
        <item x="391"/>
        <item x="386"/>
        <item x="399"/>
        <item x="403"/>
        <item x="395"/>
        <item x="387"/>
        <item x="396"/>
        <item x="400"/>
        <item x="392"/>
        <item x="393"/>
        <item x="401"/>
        <item x="404"/>
        <item x="413"/>
        <item x="418"/>
        <item x="408"/>
        <item x="420"/>
        <item x="423"/>
        <item x="412"/>
        <item x="414"/>
        <item x="421"/>
        <item x="424"/>
        <item x="426"/>
        <item x="410"/>
        <item x="415"/>
        <item x="419"/>
        <item x="411"/>
        <item x="425"/>
        <item x="435"/>
        <item x="436"/>
        <item x="440"/>
        <item x="434"/>
        <item x="427"/>
        <item x="437"/>
        <item x="441"/>
        <item x="442"/>
        <item x="438"/>
        <item x="430"/>
        <item x="431"/>
        <item x="428"/>
        <item x="432"/>
        <item x="433"/>
        <item x="439"/>
        <item x="443"/>
        <item x="429"/>
        <item x="444"/>
        <item x="449"/>
        <item x="454"/>
        <item x="455"/>
        <item x="445"/>
        <item x="453"/>
        <item x="456"/>
        <item x="459"/>
        <item x="446"/>
        <item x="448"/>
        <item x="451"/>
        <item x="450"/>
        <item x="452"/>
        <item x="447"/>
        <item x="457"/>
        <item x="458"/>
        <item x="460"/>
        <item x="465"/>
        <item x="468"/>
        <item x="466"/>
        <item x="461"/>
        <item x="471"/>
        <item x="475"/>
        <item x="478"/>
        <item x="473"/>
        <item x="462"/>
        <item x="464"/>
        <item x="469"/>
        <item x="463"/>
        <item x="467"/>
        <item x="470"/>
        <item x="472"/>
        <item x="476"/>
        <item x="477"/>
        <item x="474"/>
        <item x="479"/>
        <item x="485"/>
        <item x="487"/>
        <item x="491"/>
        <item x="480"/>
        <item x="481"/>
        <item x="486"/>
        <item x="488"/>
        <item x="482"/>
        <item x="483"/>
        <item x="489"/>
        <item x="484"/>
        <item x="490"/>
        <item x="492"/>
        <item x="493"/>
        <item x="503"/>
        <item x="507"/>
        <item x="514"/>
        <item x="494"/>
        <item x="500"/>
        <item x="504"/>
        <item x="508"/>
        <item x="512"/>
        <item x="497"/>
        <item x="505"/>
        <item x="495"/>
        <item x="509"/>
        <item x="501"/>
        <item x="496"/>
        <item x="498"/>
        <item x="502"/>
        <item x="506"/>
        <item x="510"/>
        <item x="511"/>
        <item x="499"/>
        <item x="513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3"/>
    <field x="4"/>
  </rowFields>
  <rowItems count="144">
    <i>
      <x/>
      <x v="1"/>
    </i>
    <i r="1">
      <x v="3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6"/>
    </i>
    <i r="1">
      <x v="19"/>
    </i>
    <i r="1">
      <x v="21"/>
    </i>
    <i r="1">
      <x v="24"/>
    </i>
    <i r="1">
      <x v="29"/>
    </i>
    <i r="1">
      <x v="30"/>
    </i>
    <i t="default">
      <x/>
    </i>
    <i>
      <x v="1"/>
      <x/>
    </i>
    <i r="1">
      <x v="2"/>
    </i>
    <i r="1">
      <x v="4"/>
    </i>
    <i r="1">
      <x v="6"/>
    </i>
    <i r="1">
      <x v="7"/>
    </i>
    <i r="1">
      <x v="12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t="default">
      <x v="1"/>
    </i>
    <i>
      <x v="2"/>
      <x v="5"/>
    </i>
    <i r="1">
      <x v="8"/>
    </i>
    <i r="1">
      <x v="12"/>
    </i>
    <i r="1">
      <x v="15"/>
    </i>
    <i r="1">
      <x v="16"/>
    </i>
    <i r="1">
      <x v="17"/>
    </i>
    <i r="1">
      <x v="19"/>
    </i>
    <i r="1">
      <x v="20"/>
    </i>
    <i t="default">
      <x v="2"/>
    </i>
    <i>
      <x v="3"/>
      <x v="7"/>
    </i>
    <i r="1">
      <x v="15"/>
    </i>
    <i r="1">
      <x v="17"/>
    </i>
    <i r="1">
      <x v="20"/>
    </i>
    <i t="default">
      <x v="3"/>
    </i>
    <i>
      <x v="4"/>
      <x v="2"/>
    </i>
    <i r="1">
      <x v="6"/>
    </i>
    <i r="1">
      <x v="7"/>
    </i>
    <i r="1">
      <x v="12"/>
    </i>
    <i r="1">
      <x v="14"/>
    </i>
    <i r="1">
      <x v="16"/>
    </i>
    <i r="1">
      <x v="19"/>
    </i>
    <i r="1">
      <x v="21"/>
    </i>
    <i r="1">
      <x v="24"/>
    </i>
    <i r="1">
      <x v="26"/>
    </i>
    <i r="1">
      <x v="30"/>
    </i>
    <i r="1">
      <x v="31"/>
    </i>
    <i r="1">
      <x v="33"/>
    </i>
    <i t="default">
      <x v="4"/>
    </i>
    <i>
      <x v="5"/>
      <x v="4"/>
    </i>
    <i r="1">
      <x v="7"/>
    </i>
    <i r="1">
      <x v="12"/>
    </i>
    <i r="1">
      <x v="15"/>
    </i>
    <i r="1">
      <x v="16"/>
    </i>
    <i r="1">
      <x v="17"/>
    </i>
    <i r="1">
      <x v="19"/>
    </i>
    <i r="1">
      <x v="24"/>
    </i>
    <i t="default">
      <x v="5"/>
    </i>
    <i>
      <x v="6"/>
      <x/>
    </i>
    <i r="1">
      <x v="4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1"/>
    </i>
    <i r="1">
      <x v="23"/>
    </i>
    <i r="1">
      <x v="24"/>
    </i>
    <i r="1">
      <x v="27"/>
    </i>
    <i r="1">
      <x v="29"/>
    </i>
    <i r="1">
      <x v="30"/>
    </i>
    <i r="1">
      <x v="34"/>
    </i>
    <i t="default">
      <x v="6"/>
    </i>
    <i>
      <x v="7"/>
      <x v="7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3"/>
    </i>
    <i r="1">
      <x v="25"/>
    </i>
    <i r="1">
      <x v="26"/>
    </i>
    <i r="1">
      <x v="29"/>
    </i>
    <i r="1">
      <x v="31"/>
    </i>
    <i r="1">
      <x v="35"/>
    </i>
    <i r="1">
      <x v="36"/>
    </i>
    <i r="1">
      <x v="37"/>
    </i>
    <i t="default">
      <x v="7"/>
    </i>
    <i>
      <x v="8"/>
      <x v="7"/>
    </i>
    <i r="1">
      <x v="9"/>
    </i>
    <i r="1">
      <x v="12"/>
    </i>
    <i r="1">
      <x v="14"/>
    </i>
    <i r="1">
      <x v="16"/>
    </i>
    <i r="1">
      <x v="18"/>
    </i>
    <i r="1">
      <x v="19"/>
    </i>
    <i r="1">
      <x v="21"/>
    </i>
    <i r="1">
      <x v="23"/>
    </i>
    <i r="1">
      <x v="24"/>
    </i>
    <i r="1">
      <x v="26"/>
    </i>
    <i r="1">
      <x v="29"/>
    </i>
    <i r="1">
      <x v="30"/>
    </i>
    <i r="1">
      <x v="33"/>
    </i>
    <i r="1">
      <x v="38"/>
    </i>
    <i t="default">
      <x v="8"/>
    </i>
    <i>
      <x v="9"/>
      <x v="7"/>
    </i>
    <i r="1">
      <x v="9"/>
    </i>
    <i r="1">
      <x v="10"/>
    </i>
    <i r="1">
      <x v="11"/>
    </i>
    <i r="1">
      <x v="13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8"/>
    </i>
    <i r="1">
      <x v="30"/>
    </i>
    <i r="1">
      <x v="39"/>
    </i>
    <i t="default">
      <x v="9"/>
    </i>
    <i t="grand">
      <x/>
    </i>
  </rowItems>
  <colFields count="1">
    <field x="2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colItems>
  <pageFields count="3">
    <pageField fld="0" hier="-1"/>
    <pageField fld="1" hier="-1"/>
    <pageField fld="5" hier="-1"/>
  </pageFields>
  <dataFields count="1">
    <dataField name="求和项:Display area(K m2 )" fld="6" baseField="0" baseItem="0" numFmtId="1"/>
  </dataFields>
  <formats count="17">
    <format dxfId="16">
      <pivotArea outline="0" collapsedLevelsAreSubtotals="1" fieldPosition="0"/>
    </format>
    <format dxfId="15">
      <pivotArea dataOnly="0" labelOnly="1" outline="0" fieldPosition="0">
        <references count="1">
          <reference field="2" count="0"/>
        </references>
      </pivotArea>
    </format>
    <format dxfId="14">
      <pivotArea dataOnly="0" labelOnly="1" grandCol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2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3" type="button" dataOnly="0" labelOnly="1" outline="0" axis="axisRow" fieldPosition="0"/>
    </format>
    <format dxfId="7">
      <pivotArea field="4" type="button" dataOnly="0" labelOnly="1" outline="0" axis="axisRow" fieldPosition="1"/>
    </format>
    <format dxfId="6">
      <pivotArea dataOnly="0" labelOnly="1" outline="0" fieldPosition="0">
        <references count="1">
          <reference field="3" count="0"/>
        </references>
      </pivotArea>
    </format>
    <format dxfId="5">
      <pivotArea dataOnly="0" labelOnly="1" outline="0" fieldPosition="0">
        <references count="1">
          <reference field="3" count="0" defaultSubtotal="1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2" count="0"/>
        </references>
      </pivotArea>
    </format>
    <format dxfId="2">
      <pivotArea dataOnly="0" labelOnly="1" grandCol="1" outline="0" fieldPosition="0"/>
    </format>
    <format dxfId="1">
      <pivotArea dataOnly="0" labelOnly="1" outline="0" fieldPosition="0">
        <references count="1">
          <reference field="2" count="0"/>
        </references>
      </pivotArea>
    </format>
    <format dxfId="0">
      <pivotArea dataOnly="0" labelOnly="1" outline="0" fieldPosition="0">
        <references count="1">
          <reference field="2" count="0"/>
        </references>
      </pivotArea>
    </format>
  </formats>
  <pivotTableStyleInfo name="数据透视表样式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3"/>
  </sheetPr>
  <dimension ref="A6:R24"/>
  <sheetViews>
    <sheetView showGridLines="0" showRowColHeaders="0" tabSelected="1" zoomScale="70" zoomScaleNormal="70" workbookViewId="0">
      <selection activeCell="L27" sqref="L27"/>
    </sheetView>
  </sheetViews>
  <sheetFormatPr baseColWidth="10" defaultColWidth="7.83203125" defaultRowHeight="13" x14ac:dyDescent="0.2"/>
  <cols>
    <col min="1" max="16384" width="7.83203125" style="1"/>
  </cols>
  <sheetData>
    <row r="6" spans="1:18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4" spans="1:18" ht="26" x14ac:dyDescent="0.2">
      <c r="I24" s="2">
        <v>43739</v>
      </c>
    </row>
  </sheetData>
  <phoneticPr fontId="1" type="noConversion"/>
  <pageMargins left="0.69930555555555596" right="0.69930555555555596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3"/>
  </sheetPr>
  <dimension ref="A1:O253"/>
  <sheetViews>
    <sheetView showGridLines="0" showZeros="0" zoomScale="70" zoomScaleNormal="70" workbookViewId="0">
      <selection activeCell="L2" sqref="L2"/>
    </sheetView>
  </sheetViews>
  <sheetFormatPr baseColWidth="10" defaultColWidth="11.1640625" defaultRowHeight="12.75" customHeight="1" x14ac:dyDescent="0.2"/>
  <cols>
    <col min="1" max="1" width="3.1640625" style="9" customWidth="1"/>
    <col min="2" max="2" width="9.1640625" style="9" customWidth="1"/>
    <col min="3" max="3" width="11.6640625" style="9" customWidth="1"/>
    <col min="4" max="4" width="8.5" style="9" customWidth="1"/>
    <col min="5" max="17" width="11.1640625" style="9" customWidth="1"/>
    <col min="18" max="257" width="11.1640625" style="9"/>
    <col min="258" max="258" width="9.1640625" style="9" customWidth="1"/>
    <col min="259" max="259" width="11.6640625" style="9" customWidth="1"/>
    <col min="260" max="260" width="8.5" style="9" customWidth="1"/>
    <col min="261" max="273" width="11.1640625" style="9" customWidth="1"/>
    <col min="274" max="513" width="11.1640625" style="9"/>
    <col min="514" max="514" width="9.1640625" style="9" customWidth="1"/>
    <col min="515" max="515" width="11.6640625" style="9" customWidth="1"/>
    <col min="516" max="516" width="8.5" style="9" customWidth="1"/>
    <col min="517" max="529" width="11.1640625" style="9" customWidth="1"/>
    <col min="530" max="769" width="11.1640625" style="9"/>
    <col min="770" max="770" width="9.1640625" style="9" customWidth="1"/>
    <col min="771" max="771" width="11.6640625" style="9" customWidth="1"/>
    <col min="772" max="772" width="8.5" style="9" customWidth="1"/>
    <col min="773" max="785" width="11.1640625" style="9" customWidth="1"/>
    <col min="786" max="1025" width="11.1640625" style="9"/>
    <col min="1026" max="1026" width="9.1640625" style="9" customWidth="1"/>
    <col min="1027" max="1027" width="11.6640625" style="9" customWidth="1"/>
    <col min="1028" max="1028" width="8.5" style="9" customWidth="1"/>
    <col min="1029" max="1041" width="11.1640625" style="9" customWidth="1"/>
    <col min="1042" max="1281" width="11.1640625" style="9"/>
    <col min="1282" max="1282" width="9.1640625" style="9" customWidth="1"/>
    <col min="1283" max="1283" width="11.6640625" style="9" customWidth="1"/>
    <col min="1284" max="1284" width="8.5" style="9" customWidth="1"/>
    <col min="1285" max="1297" width="11.1640625" style="9" customWidth="1"/>
    <col min="1298" max="1537" width="11.1640625" style="9"/>
    <col min="1538" max="1538" width="9.1640625" style="9" customWidth="1"/>
    <col min="1539" max="1539" width="11.6640625" style="9" customWidth="1"/>
    <col min="1540" max="1540" width="8.5" style="9" customWidth="1"/>
    <col min="1541" max="1553" width="11.1640625" style="9" customWidth="1"/>
    <col min="1554" max="1793" width="11.1640625" style="9"/>
    <col min="1794" max="1794" width="9.1640625" style="9" customWidth="1"/>
    <col min="1795" max="1795" width="11.6640625" style="9" customWidth="1"/>
    <col min="1796" max="1796" width="8.5" style="9" customWidth="1"/>
    <col min="1797" max="1809" width="11.1640625" style="9" customWidth="1"/>
    <col min="1810" max="2049" width="11.1640625" style="9"/>
    <col min="2050" max="2050" width="9.1640625" style="9" customWidth="1"/>
    <col min="2051" max="2051" width="11.6640625" style="9" customWidth="1"/>
    <col min="2052" max="2052" width="8.5" style="9" customWidth="1"/>
    <col min="2053" max="2065" width="11.1640625" style="9" customWidth="1"/>
    <col min="2066" max="2305" width="11.1640625" style="9"/>
    <col min="2306" max="2306" width="9.1640625" style="9" customWidth="1"/>
    <col min="2307" max="2307" width="11.6640625" style="9" customWidth="1"/>
    <col min="2308" max="2308" width="8.5" style="9" customWidth="1"/>
    <col min="2309" max="2321" width="11.1640625" style="9" customWidth="1"/>
    <col min="2322" max="2561" width="11.1640625" style="9"/>
    <col min="2562" max="2562" width="9.1640625" style="9" customWidth="1"/>
    <col min="2563" max="2563" width="11.6640625" style="9" customWidth="1"/>
    <col min="2564" max="2564" width="8.5" style="9" customWidth="1"/>
    <col min="2565" max="2577" width="11.1640625" style="9" customWidth="1"/>
    <col min="2578" max="2817" width="11.1640625" style="9"/>
    <col min="2818" max="2818" width="9.1640625" style="9" customWidth="1"/>
    <col min="2819" max="2819" width="11.6640625" style="9" customWidth="1"/>
    <col min="2820" max="2820" width="8.5" style="9" customWidth="1"/>
    <col min="2821" max="2833" width="11.1640625" style="9" customWidth="1"/>
    <col min="2834" max="3073" width="11.1640625" style="9"/>
    <col min="3074" max="3074" width="9.1640625" style="9" customWidth="1"/>
    <col min="3075" max="3075" width="11.6640625" style="9" customWidth="1"/>
    <col min="3076" max="3076" width="8.5" style="9" customWidth="1"/>
    <col min="3077" max="3089" width="11.1640625" style="9" customWidth="1"/>
    <col min="3090" max="3329" width="11.1640625" style="9"/>
    <col min="3330" max="3330" width="9.1640625" style="9" customWidth="1"/>
    <col min="3331" max="3331" width="11.6640625" style="9" customWidth="1"/>
    <col min="3332" max="3332" width="8.5" style="9" customWidth="1"/>
    <col min="3333" max="3345" width="11.1640625" style="9" customWidth="1"/>
    <col min="3346" max="3585" width="11.1640625" style="9"/>
    <col min="3586" max="3586" width="9.1640625" style="9" customWidth="1"/>
    <col min="3587" max="3587" width="11.6640625" style="9" customWidth="1"/>
    <col min="3588" max="3588" width="8.5" style="9" customWidth="1"/>
    <col min="3589" max="3601" width="11.1640625" style="9" customWidth="1"/>
    <col min="3602" max="3841" width="11.1640625" style="9"/>
    <col min="3842" max="3842" width="9.1640625" style="9" customWidth="1"/>
    <col min="3843" max="3843" width="11.6640625" style="9" customWidth="1"/>
    <col min="3844" max="3844" width="8.5" style="9" customWidth="1"/>
    <col min="3845" max="3857" width="11.1640625" style="9" customWidth="1"/>
    <col min="3858" max="4097" width="11.1640625" style="9"/>
    <col min="4098" max="4098" width="9.1640625" style="9" customWidth="1"/>
    <col min="4099" max="4099" width="11.6640625" style="9" customWidth="1"/>
    <col min="4100" max="4100" width="8.5" style="9" customWidth="1"/>
    <col min="4101" max="4113" width="11.1640625" style="9" customWidth="1"/>
    <col min="4114" max="4353" width="11.1640625" style="9"/>
    <col min="4354" max="4354" width="9.1640625" style="9" customWidth="1"/>
    <col min="4355" max="4355" width="11.6640625" style="9" customWidth="1"/>
    <col min="4356" max="4356" width="8.5" style="9" customWidth="1"/>
    <col min="4357" max="4369" width="11.1640625" style="9" customWidth="1"/>
    <col min="4370" max="4609" width="11.1640625" style="9"/>
    <col min="4610" max="4610" width="9.1640625" style="9" customWidth="1"/>
    <col min="4611" max="4611" width="11.6640625" style="9" customWidth="1"/>
    <col min="4612" max="4612" width="8.5" style="9" customWidth="1"/>
    <col min="4613" max="4625" width="11.1640625" style="9" customWidth="1"/>
    <col min="4626" max="4865" width="11.1640625" style="9"/>
    <col min="4866" max="4866" width="9.1640625" style="9" customWidth="1"/>
    <col min="4867" max="4867" width="11.6640625" style="9" customWidth="1"/>
    <col min="4868" max="4868" width="8.5" style="9" customWidth="1"/>
    <col min="4869" max="4881" width="11.1640625" style="9" customWidth="1"/>
    <col min="4882" max="5121" width="11.1640625" style="9"/>
    <col min="5122" max="5122" width="9.1640625" style="9" customWidth="1"/>
    <col min="5123" max="5123" width="11.6640625" style="9" customWidth="1"/>
    <col min="5124" max="5124" width="8.5" style="9" customWidth="1"/>
    <col min="5125" max="5137" width="11.1640625" style="9" customWidth="1"/>
    <col min="5138" max="5377" width="11.1640625" style="9"/>
    <col min="5378" max="5378" width="9.1640625" style="9" customWidth="1"/>
    <col min="5379" max="5379" width="11.6640625" style="9" customWidth="1"/>
    <col min="5380" max="5380" width="8.5" style="9" customWidth="1"/>
    <col min="5381" max="5393" width="11.1640625" style="9" customWidth="1"/>
    <col min="5394" max="5633" width="11.1640625" style="9"/>
    <col min="5634" max="5634" width="9.1640625" style="9" customWidth="1"/>
    <col min="5635" max="5635" width="11.6640625" style="9" customWidth="1"/>
    <col min="5636" max="5636" width="8.5" style="9" customWidth="1"/>
    <col min="5637" max="5649" width="11.1640625" style="9" customWidth="1"/>
    <col min="5650" max="5889" width="11.1640625" style="9"/>
    <col min="5890" max="5890" width="9.1640625" style="9" customWidth="1"/>
    <col min="5891" max="5891" width="11.6640625" style="9" customWidth="1"/>
    <col min="5892" max="5892" width="8.5" style="9" customWidth="1"/>
    <col min="5893" max="5905" width="11.1640625" style="9" customWidth="1"/>
    <col min="5906" max="6145" width="11.1640625" style="9"/>
    <col min="6146" max="6146" width="9.1640625" style="9" customWidth="1"/>
    <col min="6147" max="6147" width="11.6640625" style="9" customWidth="1"/>
    <col min="6148" max="6148" width="8.5" style="9" customWidth="1"/>
    <col min="6149" max="6161" width="11.1640625" style="9" customWidth="1"/>
    <col min="6162" max="6401" width="11.1640625" style="9"/>
    <col min="6402" max="6402" width="9.1640625" style="9" customWidth="1"/>
    <col min="6403" max="6403" width="11.6640625" style="9" customWidth="1"/>
    <col min="6404" max="6404" width="8.5" style="9" customWidth="1"/>
    <col min="6405" max="6417" width="11.1640625" style="9" customWidth="1"/>
    <col min="6418" max="6657" width="11.1640625" style="9"/>
    <col min="6658" max="6658" width="9.1640625" style="9" customWidth="1"/>
    <col min="6659" max="6659" width="11.6640625" style="9" customWidth="1"/>
    <col min="6660" max="6660" width="8.5" style="9" customWidth="1"/>
    <col min="6661" max="6673" width="11.1640625" style="9" customWidth="1"/>
    <col min="6674" max="6913" width="11.1640625" style="9"/>
    <col min="6914" max="6914" width="9.1640625" style="9" customWidth="1"/>
    <col min="6915" max="6915" width="11.6640625" style="9" customWidth="1"/>
    <col min="6916" max="6916" width="8.5" style="9" customWidth="1"/>
    <col min="6917" max="6929" width="11.1640625" style="9" customWidth="1"/>
    <col min="6930" max="7169" width="11.1640625" style="9"/>
    <col min="7170" max="7170" width="9.1640625" style="9" customWidth="1"/>
    <col min="7171" max="7171" width="11.6640625" style="9" customWidth="1"/>
    <col min="7172" max="7172" width="8.5" style="9" customWidth="1"/>
    <col min="7173" max="7185" width="11.1640625" style="9" customWidth="1"/>
    <col min="7186" max="7425" width="11.1640625" style="9"/>
    <col min="7426" max="7426" width="9.1640625" style="9" customWidth="1"/>
    <col min="7427" max="7427" width="11.6640625" style="9" customWidth="1"/>
    <col min="7428" max="7428" width="8.5" style="9" customWidth="1"/>
    <col min="7429" max="7441" width="11.1640625" style="9" customWidth="1"/>
    <col min="7442" max="7681" width="11.1640625" style="9"/>
    <col min="7682" max="7682" width="9.1640625" style="9" customWidth="1"/>
    <col min="7683" max="7683" width="11.6640625" style="9" customWidth="1"/>
    <col min="7684" max="7684" width="8.5" style="9" customWidth="1"/>
    <col min="7685" max="7697" width="11.1640625" style="9" customWidth="1"/>
    <col min="7698" max="7937" width="11.1640625" style="9"/>
    <col min="7938" max="7938" width="9.1640625" style="9" customWidth="1"/>
    <col min="7939" max="7939" width="11.6640625" style="9" customWidth="1"/>
    <col min="7940" max="7940" width="8.5" style="9" customWidth="1"/>
    <col min="7941" max="7953" width="11.1640625" style="9" customWidth="1"/>
    <col min="7954" max="8193" width="11.1640625" style="9"/>
    <col min="8194" max="8194" width="9.1640625" style="9" customWidth="1"/>
    <col min="8195" max="8195" width="11.6640625" style="9" customWidth="1"/>
    <col min="8196" max="8196" width="8.5" style="9" customWidth="1"/>
    <col min="8197" max="8209" width="11.1640625" style="9" customWidth="1"/>
    <col min="8210" max="8449" width="11.1640625" style="9"/>
    <col min="8450" max="8450" width="9.1640625" style="9" customWidth="1"/>
    <col min="8451" max="8451" width="11.6640625" style="9" customWidth="1"/>
    <col min="8452" max="8452" width="8.5" style="9" customWidth="1"/>
    <col min="8453" max="8465" width="11.1640625" style="9" customWidth="1"/>
    <col min="8466" max="8705" width="11.1640625" style="9"/>
    <col min="8706" max="8706" width="9.1640625" style="9" customWidth="1"/>
    <col min="8707" max="8707" width="11.6640625" style="9" customWidth="1"/>
    <col min="8708" max="8708" width="8.5" style="9" customWidth="1"/>
    <col min="8709" max="8721" width="11.1640625" style="9" customWidth="1"/>
    <col min="8722" max="8961" width="11.1640625" style="9"/>
    <col min="8962" max="8962" width="9.1640625" style="9" customWidth="1"/>
    <col min="8963" max="8963" width="11.6640625" style="9" customWidth="1"/>
    <col min="8964" max="8964" width="8.5" style="9" customWidth="1"/>
    <col min="8965" max="8977" width="11.1640625" style="9" customWidth="1"/>
    <col min="8978" max="9217" width="11.1640625" style="9"/>
    <col min="9218" max="9218" width="9.1640625" style="9" customWidth="1"/>
    <col min="9219" max="9219" width="11.6640625" style="9" customWidth="1"/>
    <col min="9220" max="9220" width="8.5" style="9" customWidth="1"/>
    <col min="9221" max="9233" width="11.1640625" style="9" customWidth="1"/>
    <col min="9234" max="9473" width="11.1640625" style="9"/>
    <col min="9474" max="9474" width="9.1640625" style="9" customWidth="1"/>
    <col min="9475" max="9475" width="11.6640625" style="9" customWidth="1"/>
    <col min="9476" max="9476" width="8.5" style="9" customWidth="1"/>
    <col min="9477" max="9489" width="11.1640625" style="9" customWidth="1"/>
    <col min="9490" max="9729" width="11.1640625" style="9"/>
    <col min="9730" max="9730" width="9.1640625" style="9" customWidth="1"/>
    <col min="9731" max="9731" width="11.6640625" style="9" customWidth="1"/>
    <col min="9732" max="9732" width="8.5" style="9" customWidth="1"/>
    <col min="9733" max="9745" width="11.1640625" style="9" customWidth="1"/>
    <col min="9746" max="9985" width="11.1640625" style="9"/>
    <col min="9986" max="9986" width="9.1640625" style="9" customWidth="1"/>
    <col min="9987" max="9987" width="11.6640625" style="9" customWidth="1"/>
    <col min="9988" max="9988" width="8.5" style="9" customWidth="1"/>
    <col min="9989" max="10001" width="11.1640625" style="9" customWidth="1"/>
    <col min="10002" max="10241" width="11.1640625" style="9"/>
    <col min="10242" max="10242" width="9.1640625" style="9" customWidth="1"/>
    <col min="10243" max="10243" width="11.6640625" style="9" customWidth="1"/>
    <col min="10244" max="10244" width="8.5" style="9" customWidth="1"/>
    <col min="10245" max="10257" width="11.1640625" style="9" customWidth="1"/>
    <col min="10258" max="10497" width="11.1640625" style="9"/>
    <col min="10498" max="10498" width="9.1640625" style="9" customWidth="1"/>
    <col min="10499" max="10499" width="11.6640625" style="9" customWidth="1"/>
    <col min="10500" max="10500" width="8.5" style="9" customWidth="1"/>
    <col min="10501" max="10513" width="11.1640625" style="9" customWidth="1"/>
    <col min="10514" max="10753" width="11.1640625" style="9"/>
    <col min="10754" max="10754" width="9.1640625" style="9" customWidth="1"/>
    <col min="10755" max="10755" width="11.6640625" style="9" customWidth="1"/>
    <col min="10756" max="10756" width="8.5" style="9" customWidth="1"/>
    <col min="10757" max="10769" width="11.1640625" style="9" customWidth="1"/>
    <col min="10770" max="11009" width="11.1640625" style="9"/>
    <col min="11010" max="11010" width="9.1640625" style="9" customWidth="1"/>
    <col min="11011" max="11011" width="11.6640625" style="9" customWidth="1"/>
    <col min="11012" max="11012" width="8.5" style="9" customWidth="1"/>
    <col min="11013" max="11025" width="11.1640625" style="9" customWidth="1"/>
    <col min="11026" max="11265" width="11.1640625" style="9"/>
    <col min="11266" max="11266" width="9.1640625" style="9" customWidth="1"/>
    <col min="11267" max="11267" width="11.6640625" style="9" customWidth="1"/>
    <col min="11268" max="11268" width="8.5" style="9" customWidth="1"/>
    <col min="11269" max="11281" width="11.1640625" style="9" customWidth="1"/>
    <col min="11282" max="11521" width="11.1640625" style="9"/>
    <col min="11522" max="11522" width="9.1640625" style="9" customWidth="1"/>
    <col min="11523" max="11523" width="11.6640625" style="9" customWidth="1"/>
    <col min="11524" max="11524" width="8.5" style="9" customWidth="1"/>
    <col min="11525" max="11537" width="11.1640625" style="9" customWidth="1"/>
    <col min="11538" max="11777" width="11.1640625" style="9"/>
    <col min="11778" max="11778" width="9.1640625" style="9" customWidth="1"/>
    <col min="11779" max="11779" width="11.6640625" style="9" customWidth="1"/>
    <col min="11780" max="11780" width="8.5" style="9" customWidth="1"/>
    <col min="11781" max="11793" width="11.1640625" style="9" customWidth="1"/>
    <col min="11794" max="12033" width="11.1640625" style="9"/>
    <col min="12034" max="12034" width="9.1640625" style="9" customWidth="1"/>
    <col min="12035" max="12035" width="11.6640625" style="9" customWidth="1"/>
    <col min="12036" max="12036" width="8.5" style="9" customWidth="1"/>
    <col min="12037" max="12049" width="11.1640625" style="9" customWidth="1"/>
    <col min="12050" max="12289" width="11.1640625" style="9"/>
    <col min="12290" max="12290" width="9.1640625" style="9" customWidth="1"/>
    <col min="12291" max="12291" width="11.6640625" style="9" customWidth="1"/>
    <col min="12292" max="12292" width="8.5" style="9" customWidth="1"/>
    <col min="12293" max="12305" width="11.1640625" style="9" customWidth="1"/>
    <col min="12306" max="12545" width="11.1640625" style="9"/>
    <col min="12546" max="12546" width="9.1640625" style="9" customWidth="1"/>
    <col min="12547" max="12547" width="11.6640625" style="9" customWidth="1"/>
    <col min="12548" max="12548" width="8.5" style="9" customWidth="1"/>
    <col min="12549" max="12561" width="11.1640625" style="9" customWidth="1"/>
    <col min="12562" max="12801" width="11.1640625" style="9"/>
    <col min="12802" max="12802" width="9.1640625" style="9" customWidth="1"/>
    <col min="12803" max="12803" width="11.6640625" style="9" customWidth="1"/>
    <col min="12804" max="12804" width="8.5" style="9" customWidth="1"/>
    <col min="12805" max="12817" width="11.1640625" style="9" customWidth="1"/>
    <col min="12818" max="13057" width="11.1640625" style="9"/>
    <col min="13058" max="13058" width="9.1640625" style="9" customWidth="1"/>
    <col min="13059" max="13059" width="11.6640625" style="9" customWidth="1"/>
    <col min="13060" max="13060" width="8.5" style="9" customWidth="1"/>
    <col min="13061" max="13073" width="11.1640625" style="9" customWidth="1"/>
    <col min="13074" max="13313" width="11.1640625" style="9"/>
    <col min="13314" max="13314" width="9.1640625" style="9" customWidth="1"/>
    <col min="13315" max="13315" width="11.6640625" style="9" customWidth="1"/>
    <col min="13316" max="13316" width="8.5" style="9" customWidth="1"/>
    <col min="13317" max="13329" width="11.1640625" style="9" customWidth="1"/>
    <col min="13330" max="13569" width="11.1640625" style="9"/>
    <col min="13570" max="13570" width="9.1640625" style="9" customWidth="1"/>
    <col min="13571" max="13571" width="11.6640625" style="9" customWidth="1"/>
    <col min="13572" max="13572" width="8.5" style="9" customWidth="1"/>
    <col min="13573" max="13585" width="11.1640625" style="9" customWidth="1"/>
    <col min="13586" max="13825" width="11.1640625" style="9"/>
    <col min="13826" max="13826" width="9.1640625" style="9" customWidth="1"/>
    <col min="13827" max="13827" width="11.6640625" style="9" customWidth="1"/>
    <col min="13828" max="13828" width="8.5" style="9" customWidth="1"/>
    <col min="13829" max="13841" width="11.1640625" style="9" customWidth="1"/>
    <col min="13842" max="14081" width="11.1640625" style="9"/>
    <col min="14082" max="14082" width="9.1640625" style="9" customWidth="1"/>
    <col min="14083" max="14083" width="11.6640625" style="9" customWidth="1"/>
    <col min="14084" max="14084" width="8.5" style="9" customWidth="1"/>
    <col min="14085" max="14097" width="11.1640625" style="9" customWidth="1"/>
    <col min="14098" max="14337" width="11.1640625" style="9"/>
    <col min="14338" max="14338" width="9.1640625" style="9" customWidth="1"/>
    <col min="14339" max="14339" width="11.6640625" style="9" customWidth="1"/>
    <col min="14340" max="14340" width="8.5" style="9" customWidth="1"/>
    <col min="14341" max="14353" width="11.1640625" style="9" customWidth="1"/>
    <col min="14354" max="14593" width="11.1640625" style="9"/>
    <col min="14594" max="14594" width="9.1640625" style="9" customWidth="1"/>
    <col min="14595" max="14595" width="11.6640625" style="9" customWidth="1"/>
    <col min="14596" max="14596" width="8.5" style="9" customWidth="1"/>
    <col min="14597" max="14609" width="11.1640625" style="9" customWidth="1"/>
    <col min="14610" max="14849" width="11.1640625" style="9"/>
    <col min="14850" max="14850" width="9.1640625" style="9" customWidth="1"/>
    <col min="14851" max="14851" width="11.6640625" style="9" customWidth="1"/>
    <col min="14852" max="14852" width="8.5" style="9" customWidth="1"/>
    <col min="14853" max="14865" width="11.1640625" style="9" customWidth="1"/>
    <col min="14866" max="15105" width="11.1640625" style="9"/>
    <col min="15106" max="15106" width="9.1640625" style="9" customWidth="1"/>
    <col min="15107" max="15107" width="11.6640625" style="9" customWidth="1"/>
    <col min="15108" max="15108" width="8.5" style="9" customWidth="1"/>
    <col min="15109" max="15121" width="11.1640625" style="9" customWidth="1"/>
    <col min="15122" max="15361" width="11.1640625" style="9"/>
    <col min="15362" max="15362" width="9.1640625" style="9" customWidth="1"/>
    <col min="15363" max="15363" width="11.6640625" style="9" customWidth="1"/>
    <col min="15364" max="15364" width="8.5" style="9" customWidth="1"/>
    <col min="15365" max="15377" width="11.1640625" style="9" customWidth="1"/>
    <col min="15378" max="15617" width="11.1640625" style="9"/>
    <col min="15618" max="15618" width="9.1640625" style="9" customWidth="1"/>
    <col min="15619" max="15619" width="11.6640625" style="9" customWidth="1"/>
    <col min="15620" max="15620" width="8.5" style="9" customWidth="1"/>
    <col min="15621" max="15633" width="11.1640625" style="9" customWidth="1"/>
    <col min="15634" max="15873" width="11.1640625" style="9"/>
    <col min="15874" max="15874" width="9.1640625" style="9" customWidth="1"/>
    <col min="15875" max="15875" width="11.6640625" style="9" customWidth="1"/>
    <col min="15876" max="15876" width="8.5" style="9" customWidth="1"/>
    <col min="15877" max="15889" width="11.1640625" style="9" customWidth="1"/>
    <col min="15890" max="16129" width="11.1640625" style="9"/>
    <col min="16130" max="16130" width="9.1640625" style="9" customWidth="1"/>
    <col min="16131" max="16131" width="11.6640625" style="9" customWidth="1"/>
    <col min="16132" max="16132" width="8.5" style="9" customWidth="1"/>
    <col min="16133" max="16145" width="11.1640625" style="9" customWidth="1"/>
    <col min="16146" max="16384" width="11.1640625" style="9"/>
  </cols>
  <sheetData>
    <row r="1" spans="1:13" s="6" customFormat="1" ht="58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31">
        <v>44593</v>
      </c>
      <c r="M1" s="5"/>
    </row>
    <row r="3" spans="1:13" ht="16.5" customHeight="1" x14ac:dyDescent="0.2">
      <c r="B3" s="9" t="s">
        <v>41</v>
      </c>
      <c r="C3" s="8"/>
      <c r="D3" s="8"/>
      <c r="E3" s="8"/>
      <c r="F3" s="8"/>
      <c r="G3" s="8"/>
      <c r="H3" s="8"/>
      <c r="I3" s="8"/>
      <c r="J3" s="8"/>
    </row>
    <row r="4" spans="1:13" ht="16.5" customHeight="1" x14ac:dyDescent="0.2">
      <c r="B4" s="10" t="s">
        <v>42</v>
      </c>
      <c r="C4" s="8"/>
      <c r="D4" s="8"/>
      <c r="E4" s="8"/>
      <c r="F4" s="8"/>
      <c r="G4" s="8"/>
      <c r="H4" s="8"/>
      <c r="I4" s="8"/>
      <c r="J4" s="8"/>
    </row>
    <row r="5" spans="1:13" ht="16.5" customHeight="1" x14ac:dyDescent="0.2">
      <c r="B5" s="8"/>
      <c r="C5" s="8"/>
      <c r="D5" s="8"/>
      <c r="E5" s="8"/>
      <c r="F5" s="8"/>
      <c r="G5" s="8"/>
      <c r="H5" s="8"/>
      <c r="I5" s="8"/>
      <c r="J5" s="8"/>
    </row>
    <row r="6" spans="1:13" ht="16.5" customHeight="1" x14ac:dyDescent="0.2">
      <c r="B6" s="27" t="s">
        <v>43</v>
      </c>
      <c r="C6" s="10"/>
      <c r="D6" s="10"/>
      <c r="F6" s="8"/>
      <c r="G6" s="8"/>
      <c r="H6" s="8"/>
      <c r="I6" s="8"/>
      <c r="J6" s="8"/>
    </row>
    <row r="7" spans="1:13" ht="16.5" customHeight="1" x14ac:dyDescent="0.2">
      <c r="B7" s="11"/>
      <c r="C7" s="10" t="s">
        <v>21</v>
      </c>
      <c r="D7" s="10" t="s">
        <v>22</v>
      </c>
      <c r="F7" s="12"/>
      <c r="G7" s="12"/>
      <c r="H7" s="12"/>
      <c r="I7" s="12"/>
      <c r="J7" s="12"/>
    </row>
    <row r="8" spans="1:13" ht="16.5" customHeight="1" x14ac:dyDescent="0.2">
      <c r="B8" s="11"/>
      <c r="C8" s="10" t="s">
        <v>23</v>
      </c>
      <c r="D8" s="10" t="s">
        <v>24</v>
      </c>
      <c r="F8" s="8"/>
      <c r="G8" s="8"/>
      <c r="H8" s="8"/>
      <c r="I8" s="8"/>
      <c r="J8" s="8"/>
    </row>
    <row r="9" spans="1:13" ht="16.5" customHeight="1" x14ac:dyDescent="0.2">
      <c r="C9" s="7" t="s">
        <v>25</v>
      </c>
      <c r="D9" s="10" t="s">
        <v>26</v>
      </c>
      <c r="F9" s="8"/>
      <c r="G9" s="8"/>
      <c r="H9" s="8"/>
      <c r="I9" s="8"/>
      <c r="J9" s="8"/>
    </row>
    <row r="10" spans="1:13" ht="16.5" customHeight="1" x14ac:dyDescent="0.2">
      <c r="C10" s="10" t="s">
        <v>27</v>
      </c>
      <c r="D10" s="10" t="s">
        <v>28</v>
      </c>
      <c r="F10" s="8"/>
      <c r="G10" s="8"/>
      <c r="H10" s="8"/>
      <c r="I10" s="8"/>
      <c r="J10" s="8"/>
    </row>
    <row r="11" spans="1:13" ht="16.5" customHeight="1" x14ac:dyDescent="0.2">
      <c r="C11" s="10" t="s">
        <v>29</v>
      </c>
      <c r="D11" s="10" t="s">
        <v>30</v>
      </c>
      <c r="F11" s="8"/>
      <c r="G11" s="8"/>
      <c r="H11" s="8"/>
      <c r="I11" s="8"/>
      <c r="J11" s="8"/>
    </row>
    <row r="12" spans="1:13" ht="16.5" customHeight="1" x14ac:dyDescent="0.2">
      <c r="C12" s="10" t="s">
        <v>31</v>
      </c>
      <c r="D12" s="10" t="s">
        <v>32</v>
      </c>
      <c r="F12" s="8"/>
      <c r="G12" s="8"/>
      <c r="H12" s="8"/>
      <c r="I12" s="8"/>
      <c r="J12" s="8"/>
    </row>
    <row r="13" spans="1:13" ht="16.5" customHeight="1" x14ac:dyDescent="0.2">
      <c r="C13" s="10" t="s">
        <v>33</v>
      </c>
      <c r="D13" s="10" t="s">
        <v>34</v>
      </c>
      <c r="F13" s="8"/>
      <c r="G13" s="8"/>
      <c r="H13" s="8"/>
      <c r="I13" s="8"/>
      <c r="J13" s="8"/>
    </row>
    <row r="14" spans="1:13" ht="16.5" customHeight="1" x14ac:dyDescent="0.2">
      <c r="C14" s="10" t="s">
        <v>35</v>
      </c>
      <c r="D14" s="10" t="s">
        <v>36</v>
      </c>
      <c r="F14" s="8"/>
      <c r="G14" s="8"/>
      <c r="H14" s="8"/>
      <c r="I14" s="8"/>
      <c r="J14" s="8"/>
    </row>
    <row r="15" spans="1:13" s="14" customFormat="1" ht="16.5" customHeight="1" x14ac:dyDescent="0.2">
      <c r="B15" s="10"/>
      <c r="C15" s="10" t="s">
        <v>40</v>
      </c>
      <c r="D15" s="10" t="s">
        <v>37</v>
      </c>
      <c r="E15" s="10"/>
      <c r="F15" s="13"/>
      <c r="G15" s="8"/>
      <c r="H15" s="8"/>
      <c r="I15" s="8"/>
      <c r="J15" s="8"/>
    </row>
    <row r="16" spans="1:13" s="14" customFormat="1" ht="14.25" customHeight="1" x14ac:dyDescent="0.2">
      <c r="B16" s="10"/>
      <c r="C16" s="10"/>
      <c r="D16" s="10"/>
      <c r="F16" s="8"/>
      <c r="G16" s="8"/>
      <c r="H16" s="8"/>
      <c r="I16" s="8"/>
      <c r="J16" s="8"/>
    </row>
    <row r="17" spans="2:10" ht="12.75" customHeight="1" x14ac:dyDescent="0.2">
      <c r="B17" s="8"/>
      <c r="C17" s="10"/>
      <c r="D17" s="8"/>
      <c r="E17" s="8"/>
      <c r="F17" s="8"/>
      <c r="G17" s="8"/>
      <c r="H17" s="8"/>
      <c r="I17" s="8"/>
      <c r="J17" s="8"/>
    </row>
    <row r="202" spans="15:15" ht="12.75" customHeight="1" x14ac:dyDescent="0.2">
      <c r="O202" s="9" t="s">
        <v>14</v>
      </c>
    </row>
    <row r="211" spans="15:15" ht="12.75" customHeight="1" x14ac:dyDescent="0.2">
      <c r="O211" s="9" t="s">
        <v>14</v>
      </c>
    </row>
    <row r="218" spans="15:15" ht="12.75" customHeight="1" x14ac:dyDescent="0.2">
      <c r="O218" s="9" t="s">
        <v>14</v>
      </c>
    </row>
    <row r="224" spans="15:15" ht="12.75" customHeight="1" x14ac:dyDescent="0.2">
      <c r="O224" s="9" t="s">
        <v>14</v>
      </c>
    </row>
    <row r="232" spans="15:15" ht="12.75" customHeight="1" x14ac:dyDescent="0.2">
      <c r="O232" s="9" t="s">
        <v>14</v>
      </c>
    </row>
    <row r="237" spans="15:15" ht="12.75" customHeight="1" x14ac:dyDescent="0.2">
      <c r="O237" s="9" t="s">
        <v>14</v>
      </c>
    </row>
    <row r="242" spans="15:15" ht="12.75" customHeight="1" x14ac:dyDescent="0.2">
      <c r="O242" s="9" t="s">
        <v>14</v>
      </c>
    </row>
    <row r="247" spans="15:15" ht="12.75" customHeight="1" x14ac:dyDescent="0.2">
      <c r="O247" s="9" t="s">
        <v>14</v>
      </c>
    </row>
    <row r="253" spans="15:15" ht="12.75" customHeight="1" x14ac:dyDescent="0.2">
      <c r="O253" s="9" t="s">
        <v>14</v>
      </c>
    </row>
  </sheetData>
  <phoneticPr fontId="1" type="noConversion"/>
  <pageMargins left="0.39305555555555599" right="0.39305555555555599" top="0.59027777777777801" bottom="0.59027777777777801" header="0.59027777777777801" footer="0.59027777777777801"/>
  <pageSetup orientation="landscape" r:id="rId1"/>
  <headerFooter alignWithMargins="0">
    <oddFooter>&amp;L&amp;F &amp;A&amp;CPage &amp;P of &amp;N&amp;R&amp;D &amp;T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3"/>
    <pageSetUpPr autoPageBreaks="0"/>
  </sheetPr>
  <dimension ref="A1:N14"/>
  <sheetViews>
    <sheetView showGridLines="0" zoomScale="70" zoomScaleNormal="70" workbookViewId="0">
      <selection activeCell="I20" sqref="I20"/>
    </sheetView>
  </sheetViews>
  <sheetFormatPr baseColWidth="10" defaultColWidth="7.33203125" defaultRowHeight="12.75" customHeight="1" x14ac:dyDescent="0.2"/>
  <cols>
    <col min="1" max="1" width="3.1640625" style="9" customWidth="1"/>
    <col min="2" max="2" width="7.33203125" style="9" customWidth="1"/>
    <col min="3" max="3" width="36.33203125" style="9" customWidth="1"/>
    <col min="4" max="10" width="7.33203125" style="9"/>
    <col min="11" max="11" width="10.1640625" style="9" customWidth="1"/>
    <col min="12" max="256" width="7.33203125" style="9"/>
    <col min="257" max="258" width="7.33203125" style="9" customWidth="1"/>
    <col min="259" max="259" width="36.33203125" style="9" customWidth="1"/>
    <col min="260" max="512" width="7.33203125" style="9"/>
    <col min="513" max="514" width="7.33203125" style="9" customWidth="1"/>
    <col min="515" max="515" width="36.33203125" style="9" customWidth="1"/>
    <col min="516" max="768" width="7.33203125" style="9"/>
    <col min="769" max="770" width="7.33203125" style="9" customWidth="1"/>
    <col min="771" max="771" width="36.33203125" style="9" customWidth="1"/>
    <col min="772" max="1024" width="7.33203125" style="9"/>
    <col min="1025" max="1026" width="7.33203125" style="9" customWidth="1"/>
    <col min="1027" max="1027" width="36.33203125" style="9" customWidth="1"/>
    <col min="1028" max="1280" width="7.33203125" style="9"/>
    <col min="1281" max="1282" width="7.33203125" style="9" customWidth="1"/>
    <col min="1283" max="1283" width="36.33203125" style="9" customWidth="1"/>
    <col min="1284" max="1536" width="7.33203125" style="9"/>
    <col min="1537" max="1538" width="7.33203125" style="9" customWidth="1"/>
    <col min="1539" max="1539" width="36.33203125" style="9" customWidth="1"/>
    <col min="1540" max="1792" width="7.33203125" style="9"/>
    <col min="1793" max="1794" width="7.33203125" style="9" customWidth="1"/>
    <col min="1795" max="1795" width="36.33203125" style="9" customWidth="1"/>
    <col min="1796" max="2048" width="7.33203125" style="9"/>
    <col min="2049" max="2050" width="7.33203125" style="9" customWidth="1"/>
    <col min="2051" max="2051" width="36.33203125" style="9" customWidth="1"/>
    <col min="2052" max="2304" width="7.33203125" style="9"/>
    <col min="2305" max="2306" width="7.33203125" style="9" customWidth="1"/>
    <col min="2307" max="2307" width="36.33203125" style="9" customWidth="1"/>
    <col min="2308" max="2560" width="7.33203125" style="9"/>
    <col min="2561" max="2562" width="7.33203125" style="9" customWidth="1"/>
    <col min="2563" max="2563" width="36.33203125" style="9" customWidth="1"/>
    <col min="2564" max="2816" width="7.33203125" style="9"/>
    <col min="2817" max="2818" width="7.33203125" style="9" customWidth="1"/>
    <col min="2819" max="2819" width="36.33203125" style="9" customWidth="1"/>
    <col min="2820" max="3072" width="7.33203125" style="9"/>
    <col min="3073" max="3074" width="7.33203125" style="9" customWidth="1"/>
    <col min="3075" max="3075" width="36.33203125" style="9" customWidth="1"/>
    <col min="3076" max="3328" width="7.33203125" style="9"/>
    <col min="3329" max="3330" width="7.33203125" style="9" customWidth="1"/>
    <col min="3331" max="3331" width="36.33203125" style="9" customWidth="1"/>
    <col min="3332" max="3584" width="7.33203125" style="9"/>
    <col min="3585" max="3586" width="7.33203125" style="9" customWidth="1"/>
    <col min="3587" max="3587" width="36.33203125" style="9" customWidth="1"/>
    <col min="3588" max="3840" width="7.33203125" style="9"/>
    <col min="3841" max="3842" width="7.33203125" style="9" customWidth="1"/>
    <col min="3843" max="3843" width="36.33203125" style="9" customWidth="1"/>
    <col min="3844" max="4096" width="7.33203125" style="9"/>
    <col min="4097" max="4098" width="7.33203125" style="9" customWidth="1"/>
    <col min="4099" max="4099" width="36.33203125" style="9" customWidth="1"/>
    <col min="4100" max="4352" width="7.33203125" style="9"/>
    <col min="4353" max="4354" width="7.33203125" style="9" customWidth="1"/>
    <col min="4355" max="4355" width="36.33203125" style="9" customWidth="1"/>
    <col min="4356" max="4608" width="7.33203125" style="9"/>
    <col min="4609" max="4610" width="7.33203125" style="9" customWidth="1"/>
    <col min="4611" max="4611" width="36.33203125" style="9" customWidth="1"/>
    <col min="4612" max="4864" width="7.33203125" style="9"/>
    <col min="4865" max="4866" width="7.33203125" style="9" customWidth="1"/>
    <col min="4867" max="4867" width="36.33203125" style="9" customWidth="1"/>
    <col min="4868" max="5120" width="7.33203125" style="9"/>
    <col min="5121" max="5122" width="7.33203125" style="9" customWidth="1"/>
    <col min="5123" max="5123" width="36.33203125" style="9" customWidth="1"/>
    <col min="5124" max="5376" width="7.33203125" style="9"/>
    <col min="5377" max="5378" width="7.33203125" style="9" customWidth="1"/>
    <col min="5379" max="5379" width="36.33203125" style="9" customWidth="1"/>
    <col min="5380" max="5632" width="7.33203125" style="9"/>
    <col min="5633" max="5634" width="7.33203125" style="9" customWidth="1"/>
    <col min="5635" max="5635" width="36.33203125" style="9" customWidth="1"/>
    <col min="5636" max="5888" width="7.33203125" style="9"/>
    <col min="5889" max="5890" width="7.33203125" style="9" customWidth="1"/>
    <col min="5891" max="5891" width="36.33203125" style="9" customWidth="1"/>
    <col min="5892" max="6144" width="7.33203125" style="9"/>
    <col min="6145" max="6146" width="7.33203125" style="9" customWidth="1"/>
    <col min="6147" max="6147" width="36.33203125" style="9" customWidth="1"/>
    <col min="6148" max="6400" width="7.33203125" style="9"/>
    <col min="6401" max="6402" width="7.33203125" style="9" customWidth="1"/>
    <col min="6403" max="6403" width="36.33203125" style="9" customWidth="1"/>
    <col min="6404" max="6656" width="7.33203125" style="9"/>
    <col min="6657" max="6658" width="7.33203125" style="9" customWidth="1"/>
    <col min="6659" max="6659" width="36.33203125" style="9" customWidth="1"/>
    <col min="6660" max="6912" width="7.33203125" style="9"/>
    <col min="6913" max="6914" width="7.33203125" style="9" customWidth="1"/>
    <col min="6915" max="6915" width="36.33203125" style="9" customWidth="1"/>
    <col min="6916" max="7168" width="7.33203125" style="9"/>
    <col min="7169" max="7170" width="7.33203125" style="9" customWidth="1"/>
    <col min="7171" max="7171" width="36.33203125" style="9" customWidth="1"/>
    <col min="7172" max="7424" width="7.33203125" style="9"/>
    <col min="7425" max="7426" width="7.33203125" style="9" customWidth="1"/>
    <col min="7427" max="7427" width="36.33203125" style="9" customWidth="1"/>
    <col min="7428" max="7680" width="7.33203125" style="9"/>
    <col min="7681" max="7682" width="7.33203125" style="9" customWidth="1"/>
    <col min="7683" max="7683" width="36.33203125" style="9" customWidth="1"/>
    <col min="7684" max="7936" width="7.33203125" style="9"/>
    <col min="7937" max="7938" width="7.33203125" style="9" customWidth="1"/>
    <col min="7939" max="7939" width="36.33203125" style="9" customWidth="1"/>
    <col min="7940" max="8192" width="7.33203125" style="9"/>
    <col min="8193" max="8194" width="7.33203125" style="9" customWidth="1"/>
    <col min="8195" max="8195" width="36.33203125" style="9" customWidth="1"/>
    <col min="8196" max="8448" width="7.33203125" style="9"/>
    <col min="8449" max="8450" width="7.33203125" style="9" customWidth="1"/>
    <col min="8451" max="8451" width="36.33203125" style="9" customWidth="1"/>
    <col min="8452" max="8704" width="7.33203125" style="9"/>
    <col min="8705" max="8706" width="7.33203125" style="9" customWidth="1"/>
    <col min="8707" max="8707" width="36.33203125" style="9" customWidth="1"/>
    <col min="8708" max="8960" width="7.33203125" style="9"/>
    <col min="8961" max="8962" width="7.33203125" style="9" customWidth="1"/>
    <col min="8963" max="8963" width="36.33203125" style="9" customWidth="1"/>
    <col min="8964" max="9216" width="7.33203125" style="9"/>
    <col min="9217" max="9218" width="7.33203125" style="9" customWidth="1"/>
    <col min="9219" max="9219" width="36.33203125" style="9" customWidth="1"/>
    <col min="9220" max="9472" width="7.33203125" style="9"/>
    <col min="9473" max="9474" width="7.33203125" style="9" customWidth="1"/>
    <col min="9475" max="9475" width="36.33203125" style="9" customWidth="1"/>
    <col min="9476" max="9728" width="7.33203125" style="9"/>
    <col min="9729" max="9730" width="7.33203125" style="9" customWidth="1"/>
    <col min="9731" max="9731" width="36.33203125" style="9" customWidth="1"/>
    <col min="9732" max="9984" width="7.33203125" style="9"/>
    <col min="9985" max="9986" width="7.33203125" style="9" customWidth="1"/>
    <col min="9987" max="9987" width="36.33203125" style="9" customWidth="1"/>
    <col min="9988" max="10240" width="7.33203125" style="9"/>
    <col min="10241" max="10242" width="7.33203125" style="9" customWidth="1"/>
    <col min="10243" max="10243" width="36.33203125" style="9" customWidth="1"/>
    <col min="10244" max="10496" width="7.33203125" style="9"/>
    <col min="10497" max="10498" width="7.33203125" style="9" customWidth="1"/>
    <col min="10499" max="10499" width="36.33203125" style="9" customWidth="1"/>
    <col min="10500" max="10752" width="7.33203125" style="9"/>
    <col min="10753" max="10754" width="7.33203125" style="9" customWidth="1"/>
    <col min="10755" max="10755" width="36.33203125" style="9" customWidth="1"/>
    <col min="10756" max="11008" width="7.33203125" style="9"/>
    <col min="11009" max="11010" width="7.33203125" style="9" customWidth="1"/>
    <col min="11011" max="11011" width="36.33203125" style="9" customWidth="1"/>
    <col min="11012" max="11264" width="7.33203125" style="9"/>
    <col min="11265" max="11266" width="7.33203125" style="9" customWidth="1"/>
    <col min="11267" max="11267" width="36.33203125" style="9" customWidth="1"/>
    <col min="11268" max="11520" width="7.33203125" style="9"/>
    <col min="11521" max="11522" width="7.33203125" style="9" customWidth="1"/>
    <col min="11523" max="11523" width="36.33203125" style="9" customWidth="1"/>
    <col min="11524" max="11776" width="7.33203125" style="9"/>
    <col min="11777" max="11778" width="7.33203125" style="9" customWidth="1"/>
    <col min="11779" max="11779" width="36.33203125" style="9" customWidth="1"/>
    <col min="11780" max="12032" width="7.33203125" style="9"/>
    <col min="12033" max="12034" width="7.33203125" style="9" customWidth="1"/>
    <col min="12035" max="12035" width="36.33203125" style="9" customWidth="1"/>
    <col min="12036" max="12288" width="7.33203125" style="9"/>
    <col min="12289" max="12290" width="7.33203125" style="9" customWidth="1"/>
    <col min="12291" max="12291" width="36.33203125" style="9" customWidth="1"/>
    <col min="12292" max="12544" width="7.33203125" style="9"/>
    <col min="12545" max="12546" width="7.33203125" style="9" customWidth="1"/>
    <col min="12547" max="12547" width="36.33203125" style="9" customWidth="1"/>
    <col min="12548" max="12800" width="7.33203125" style="9"/>
    <col min="12801" max="12802" width="7.33203125" style="9" customWidth="1"/>
    <col min="12803" max="12803" width="36.33203125" style="9" customWidth="1"/>
    <col min="12804" max="13056" width="7.33203125" style="9"/>
    <col min="13057" max="13058" width="7.33203125" style="9" customWidth="1"/>
    <col min="13059" max="13059" width="36.33203125" style="9" customWidth="1"/>
    <col min="13060" max="13312" width="7.33203125" style="9"/>
    <col min="13313" max="13314" width="7.33203125" style="9" customWidth="1"/>
    <col min="13315" max="13315" width="36.33203125" style="9" customWidth="1"/>
    <col min="13316" max="13568" width="7.33203125" style="9"/>
    <col min="13569" max="13570" width="7.33203125" style="9" customWidth="1"/>
    <col min="13571" max="13571" width="36.33203125" style="9" customWidth="1"/>
    <col min="13572" max="13824" width="7.33203125" style="9"/>
    <col min="13825" max="13826" width="7.33203125" style="9" customWidth="1"/>
    <col min="13827" max="13827" width="36.33203125" style="9" customWidth="1"/>
    <col min="13828" max="14080" width="7.33203125" style="9"/>
    <col min="14081" max="14082" width="7.33203125" style="9" customWidth="1"/>
    <col min="14083" max="14083" width="36.33203125" style="9" customWidth="1"/>
    <col min="14084" max="14336" width="7.33203125" style="9"/>
    <col min="14337" max="14338" width="7.33203125" style="9" customWidth="1"/>
    <col min="14339" max="14339" width="36.33203125" style="9" customWidth="1"/>
    <col min="14340" max="14592" width="7.33203125" style="9"/>
    <col min="14593" max="14594" width="7.33203125" style="9" customWidth="1"/>
    <col min="14595" max="14595" width="36.33203125" style="9" customWidth="1"/>
    <col min="14596" max="14848" width="7.33203125" style="9"/>
    <col min="14849" max="14850" width="7.33203125" style="9" customWidth="1"/>
    <col min="14851" max="14851" width="36.33203125" style="9" customWidth="1"/>
    <col min="14852" max="15104" width="7.33203125" style="9"/>
    <col min="15105" max="15106" width="7.33203125" style="9" customWidth="1"/>
    <col min="15107" max="15107" width="36.33203125" style="9" customWidth="1"/>
    <col min="15108" max="15360" width="7.33203125" style="9"/>
    <col min="15361" max="15362" width="7.33203125" style="9" customWidth="1"/>
    <col min="15363" max="15363" width="36.33203125" style="9" customWidth="1"/>
    <col min="15364" max="15616" width="7.33203125" style="9"/>
    <col min="15617" max="15618" width="7.33203125" style="9" customWidth="1"/>
    <col min="15619" max="15619" width="36.33203125" style="9" customWidth="1"/>
    <col min="15620" max="15872" width="7.33203125" style="9"/>
    <col min="15873" max="15874" width="7.33203125" style="9" customWidth="1"/>
    <col min="15875" max="15875" width="36.33203125" style="9" customWidth="1"/>
    <col min="15876" max="16128" width="7.33203125" style="9"/>
    <col min="16129" max="16130" width="7.33203125" style="9" customWidth="1"/>
    <col min="16131" max="16131" width="36.33203125" style="9" customWidth="1"/>
    <col min="16132" max="16384" width="7.33203125" style="9"/>
  </cols>
  <sheetData>
    <row r="1" spans="1:14" s="6" customFormat="1" ht="58" customHeight="1" x14ac:dyDescent="0.2">
      <c r="A1" s="4"/>
      <c r="B1" s="4"/>
      <c r="C1" s="4"/>
      <c r="D1" s="4"/>
      <c r="E1" s="4"/>
      <c r="F1" s="4"/>
      <c r="G1" s="4"/>
      <c r="H1" s="26"/>
      <c r="I1" s="4"/>
      <c r="J1" s="4"/>
      <c r="K1" s="31">
        <f>'Important Notice'!L1</f>
        <v>44593</v>
      </c>
      <c r="L1" s="5"/>
    </row>
    <row r="2" spans="1:14" s="24" customFormat="1" ht="13" x14ac:dyDescent="0.2">
      <c r="A2" s="25"/>
    </row>
    <row r="3" spans="1:14" ht="16.5" customHeight="1" x14ac:dyDescent="0.2">
      <c r="B3" s="22" t="s">
        <v>38</v>
      </c>
      <c r="C3" s="7"/>
      <c r="D3" s="7"/>
      <c r="E3" s="7"/>
      <c r="F3" s="7"/>
      <c r="G3" s="23"/>
      <c r="N3" s="22"/>
    </row>
    <row r="4" spans="1:14" ht="18" customHeight="1" x14ac:dyDescent="0.15">
      <c r="A4" s="7"/>
      <c r="B4" s="30" t="s">
        <v>47</v>
      </c>
      <c r="F4" s="7"/>
      <c r="M4" s="21"/>
    </row>
    <row r="5" spans="1:14" ht="18" customHeight="1" x14ac:dyDescent="0.15">
      <c r="A5" s="7"/>
      <c r="B5" s="30" t="s">
        <v>48</v>
      </c>
      <c r="F5" s="7"/>
      <c r="M5" s="21"/>
    </row>
    <row r="6" spans="1:14" ht="18" customHeight="1" x14ac:dyDescent="0.15">
      <c r="A6" s="7"/>
      <c r="B6" s="30" t="s">
        <v>49</v>
      </c>
      <c r="F6" s="7"/>
      <c r="M6" s="21"/>
    </row>
    <row r="7" spans="1:14" ht="18" customHeight="1" x14ac:dyDescent="0.15">
      <c r="A7" s="7"/>
      <c r="B7" s="30" t="s">
        <v>50</v>
      </c>
      <c r="F7" s="7"/>
      <c r="M7" s="21"/>
    </row>
    <row r="8" spans="1:14" ht="12.75" customHeight="1" x14ac:dyDescent="0.2">
      <c r="A8" s="7"/>
      <c r="B8" s="7"/>
      <c r="C8" s="7"/>
      <c r="D8" s="7"/>
      <c r="E8" s="7"/>
      <c r="F8" s="7"/>
    </row>
    <row r="9" spans="1:14" ht="12.75" customHeight="1" x14ac:dyDescent="0.2">
      <c r="B9" s="20"/>
      <c r="C9" s="14"/>
    </row>
    <row r="10" spans="1:14" ht="12.75" customHeight="1" x14ac:dyDescent="0.2">
      <c r="B10" s="18"/>
      <c r="C10" s="19"/>
    </row>
    <row r="11" spans="1:14" ht="12.75" customHeight="1" x14ac:dyDescent="0.2">
      <c r="B11" s="18"/>
      <c r="C11" s="14"/>
    </row>
    <row r="12" spans="1:14" ht="12.75" customHeight="1" x14ac:dyDescent="0.2">
      <c r="B12" s="18"/>
      <c r="C12" s="14"/>
    </row>
    <row r="13" spans="1:14" ht="12.75" customHeight="1" x14ac:dyDescent="0.2">
      <c r="B13" s="18"/>
      <c r="C13" s="17"/>
    </row>
    <row r="14" spans="1:14" ht="12.75" customHeight="1" x14ac:dyDescent="0.2">
      <c r="E14" s="16"/>
    </row>
  </sheetData>
  <sheetProtection selectLockedCells="1"/>
  <phoneticPr fontId="1" type="noConversion"/>
  <hyperlinks>
    <hyperlink ref="B6" location="'3. TV Panel Average Size'!A1" display="3 Global TV Panel Average Size 全球TV面板平均尺寸"/>
    <hyperlink ref="B7" location="'4. TV Panel Size Structure'!A1" display="4 Global TV Panel Size Structure 全球TV面板尺寸结构"/>
    <hyperlink ref="B4" location="'1. TV Panel Shipment'!A1" display="1 Global TV Panel Makers Shipment by Volume 全球TV面板厂出货"/>
    <hyperlink ref="B5" location="'2. TV Panel Shipment by Area'!A1" display="2 Global TV Panel Makers Shipment by Area 全球TV面板厂面积出货"/>
  </hyperlinks>
  <pageMargins left="0.75" right="0.75" top="1" bottom="1" header="0.5" footer="0.5"/>
  <pageSetup orientation="landscape" r:id="rId1"/>
  <headerFooter alignWithMargins="0">
    <oddFooter>&amp;CCopyright © 2007 DisplaySearch, LLC, an NPD Group Company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A4128"/>
  </sheetPr>
  <dimension ref="A1:AD169"/>
  <sheetViews>
    <sheetView showGridLines="0" zoomScale="70" zoomScaleNormal="70" workbookViewId="0">
      <selection activeCell="W11" sqref="W11"/>
    </sheetView>
  </sheetViews>
  <sheetFormatPr baseColWidth="10" defaultColWidth="8.83203125" defaultRowHeight="14" x14ac:dyDescent="0.15"/>
  <cols>
    <col min="1" max="1" width="3" style="34" customWidth="1"/>
    <col min="2" max="2" width="20.5" style="34" bestFit="1" customWidth="1"/>
    <col min="3" max="3" width="10" style="34" bestFit="1" customWidth="1"/>
    <col min="4" max="4" width="9.1640625" style="34" bestFit="1" customWidth="1"/>
    <col min="5" max="29" width="6.1640625" style="34" bestFit="1" customWidth="1"/>
    <col min="30" max="30" width="7" style="34" bestFit="1" customWidth="1"/>
    <col min="31" max="31" width="8" style="34" bestFit="1" customWidth="1"/>
    <col min="32" max="16384" width="8.83203125" style="34"/>
  </cols>
  <sheetData>
    <row r="1" spans="1:30" ht="27" customHeight="1" x14ac:dyDescent="0.15">
      <c r="A1" s="38"/>
      <c r="B1" s="15" t="s">
        <v>58</v>
      </c>
      <c r="C1" s="15"/>
      <c r="D1" s="15"/>
      <c r="E1" s="15"/>
      <c r="F1" s="15"/>
      <c r="G1" s="15"/>
      <c r="H1" s="15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7" t="s">
        <v>45</v>
      </c>
      <c r="AA1" s="37"/>
      <c r="AB1" s="38"/>
      <c r="AC1" s="39">
        <f>'Important Notice'!L1</f>
        <v>44593</v>
      </c>
    </row>
    <row r="3" spans="1:30" s="32" customFormat="1" x14ac:dyDescent="0.15">
      <c r="B3" s="33" t="s">
        <v>11</v>
      </c>
      <c r="C3" s="34" t="s">
        <v>52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</row>
    <row r="4" spans="1:30" s="32" customFormat="1" x14ac:dyDescent="0.15">
      <c r="B4" s="33" t="s">
        <v>0</v>
      </c>
      <c r="C4" s="34" t="s">
        <v>52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 spans="1:30" s="32" customFormat="1" x14ac:dyDescent="0.15">
      <c r="B5" s="33" t="s">
        <v>54</v>
      </c>
      <c r="C5" s="34" t="s">
        <v>52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 spans="1:30" s="32" customFormat="1" x14ac:dyDescent="0.2"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</row>
    <row r="7" spans="1:30" s="32" customFormat="1" ht="15" x14ac:dyDescent="0.2">
      <c r="B7" s="33" t="s">
        <v>56</v>
      </c>
      <c r="C7" s="34"/>
      <c r="D7" s="33" t="s">
        <v>12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/>
    </row>
    <row r="8" spans="1:30" s="32" customFormat="1" ht="15" x14ac:dyDescent="0.2">
      <c r="B8" s="33" t="s">
        <v>10</v>
      </c>
      <c r="C8" s="33" t="s">
        <v>13</v>
      </c>
      <c r="D8" s="52">
        <v>20.010000000000002</v>
      </c>
      <c r="E8" s="52" t="s">
        <v>63</v>
      </c>
      <c r="F8" s="52" t="s">
        <v>64</v>
      </c>
      <c r="G8" s="52" t="s">
        <v>65</v>
      </c>
      <c r="H8" s="52" t="s">
        <v>66</v>
      </c>
      <c r="I8" s="52" t="s">
        <v>67</v>
      </c>
      <c r="J8" s="52" t="s">
        <v>68</v>
      </c>
      <c r="K8" s="52" t="s">
        <v>69</v>
      </c>
      <c r="L8" s="52" t="s">
        <v>70</v>
      </c>
      <c r="M8" s="52" t="s">
        <v>71</v>
      </c>
      <c r="N8" s="52" t="s">
        <v>72</v>
      </c>
      <c r="O8" s="52" t="s">
        <v>73</v>
      </c>
      <c r="P8" s="52">
        <v>21.01</v>
      </c>
      <c r="Q8" s="52" t="s">
        <v>74</v>
      </c>
      <c r="R8" s="52" t="s">
        <v>75</v>
      </c>
      <c r="S8" s="52" t="s">
        <v>76</v>
      </c>
      <c r="T8" s="52" t="s">
        <v>77</v>
      </c>
      <c r="U8" s="52" t="s">
        <v>78</v>
      </c>
      <c r="V8" s="52">
        <v>21.07</v>
      </c>
      <c r="W8" s="52" t="s">
        <v>79</v>
      </c>
      <c r="X8" s="52" t="s">
        <v>80</v>
      </c>
      <c r="Y8" s="52" t="s">
        <v>81</v>
      </c>
      <c r="Z8" s="52">
        <v>21.11</v>
      </c>
      <c r="AA8" s="52">
        <v>21.12</v>
      </c>
      <c r="AB8" s="52">
        <v>22.01</v>
      </c>
      <c r="AC8" s="52">
        <v>22.02</v>
      </c>
      <c r="AD8"/>
    </row>
    <row r="9" spans="1:30" s="32" customFormat="1" ht="15" x14ac:dyDescent="0.2">
      <c r="B9" s="34" t="s">
        <v>1</v>
      </c>
      <c r="C9" s="34">
        <v>19.5</v>
      </c>
      <c r="D9" s="35">
        <v>8</v>
      </c>
      <c r="E9" s="35">
        <v>11</v>
      </c>
      <c r="F9" s="35">
        <v>14</v>
      </c>
      <c r="G9" s="35">
        <v>14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/>
    </row>
    <row r="10" spans="1:30" s="32" customFormat="1" ht="15" x14ac:dyDescent="0.2">
      <c r="B10" s="34"/>
      <c r="C10" s="34">
        <v>21.6</v>
      </c>
      <c r="D10" s="35">
        <v>50</v>
      </c>
      <c r="E10" s="35">
        <v>24</v>
      </c>
      <c r="F10" s="35">
        <v>30</v>
      </c>
      <c r="G10" s="35">
        <v>60</v>
      </c>
      <c r="H10" s="35">
        <v>47</v>
      </c>
      <c r="I10" s="35">
        <v>53</v>
      </c>
      <c r="J10" s="35">
        <v>50</v>
      </c>
      <c r="K10" s="35">
        <v>11</v>
      </c>
      <c r="L10" s="35">
        <v>12</v>
      </c>
      <c r="M10" s="35">
        <v>22</v>
      </c>
      <c r="N10" s="35">
        <v>26</v>
      </c>
      <c r="O10" s="35">
        <v>36</v>
      </c>
      <c r="P10" s="35">
        <v>43</v>
      </c>
      <c r="Q10" s="35">
        <v>29</v>
      </c>
      <c r="R10" s="35">
        <v>40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/>
    </row>
    <row r="11" spans="1:30" s="32" customFormat="1" ht="15" x14ac:dyDescent="0.2">
      <c r="B11" s="34"/>
      <c r="C11" s="34">
        <v>32</v>
      </c>
      <c r="D11" s="35">
        <v>100</v>
      </c>
      <c r="E11" s="35">
        <v>68</v>
      </c>
      <c r="F11" s="35">
        <v>130</v>
      </c>
      <c r="G11" s="35">
        <v>100</v>
      </c>
      <c r="H11" s="35">
        <v>122</v>
      </c>
      <c r="I11" s="35">
        <v>145</v>
      </c>
      <c r="J11" s="35">
        <v>105</v>
      </c>
      <c r="K11" s="35">
        <v>220</v>
      </c>
      <c r="L11" s="35">
        <v>215</v>
      </c>
      <c r="M11" s="35">
        <v>200</v>
      </c>
      <c r="N11" s="35">
        <v>90</v>
      </c>
      <c r="O11" s="35">
        <v>112</v>
      </c>
      <c r="P11" s="35">
        <v>65</v>
      </c>
      <c r="Q11" s="35">
        <v>111</v>
      </c>
      <c r="R11" s="35">
        <v>163</v>
      </c>
      <c r="S11" s="35">
        <v>88</v>
      </c>
      <c r="T11" s="35">
        <v>105</v>
      </c>
      <c r="U11" s="35">
        <v>121</v>
      </c>
      <c r="V11" s="35">
        <v>98</v>
      </c>
      <c r="W11" s="35">
        <v>113</v>
      </c>
      <c r="X11" s="35">
        <v>71</v>
      </c>
      <c r="Y11" s="35">
        <v>50</v>
      </c>
      <c r="Z11" s="35">
        <v>53</v>
      </c>
      <c r="AA11" s="35">
        <v>117</v>
      </c>
      <c r="AB11" s="35">
        <v>82</v>
      </c>
      <c r="AC11" s="35">
        <v>122</v>
      </c>
      <c r="AD11"/>
    </row>
    <row r="12" spans="1:30" s="32" customFormat="1" ht="15" x14ac:dyDescent="0.2">
      <c r="B12" s="34"/>
      <c r="C12" s="34">
        <v>39</v>
      </c>
      <c r="D12" s="35">
        <v>53</v>
      </c>
      <c r="E12" s="35">
        <v>21</v>
      </c>
      <c r="F12" s="35">
        <v>55</v>
      </c>
      <c r="G12" s="35">
        <v>15</v>
      </c>
      <c r="H12" s="35">
        <v>20</v>
      </c>
      <c r="I12" s="35">
        <v>30</v>
      </c>
      <c r="J12" s="35">
        <v>5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>
        <v>0</v>
      </c>
      <c r="W12" s="35"/>
      <c r="X12" s="35"/>
      <c r="Y12" s="35"/>
      <c r="Z12" s="35"/>
      <c r="AA12" s="35"/>
      <c r="AB12" s="35"/>
      <c r="AC12" s="35"/>
      <c r="AD12"/>
    </row>
    <row r="13" spans="1:30" s="32" customFormat="1" ht="15" x14ac:dyDescent="0.2">
      <c r="B13" s="34"/>
      <c r="C13" s="34">
        <v>40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>
        <v>0</v>
      </c>
      <c r="W13" s="35"/>
      <c r="X13" s="35"/>
      <c r="Y13" s="35"/>
      <c r="Z13" s="35"/>
      <c r="AA13" s="35"/>
      <c r="AB13" s="35"/>
      <c r="AC13" s="35"/>
      <c r="AD13"/>
    </row>
    <row r="14" spans="1:30" s="32" customFormat="1" ht="15" x14ac:dyDescent="0.2">
      <c r="B14" s="34"/>
      <c r="C14" s="34">
        <v>42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>
        <v>0</v>
      </c>
      <c r="W14" s="35"/>
      <c r="X14" s="35"/>
      <c r="Y14" s="35"/>
      <c r="Z14" s="35"/>
      <c r="AA14" s="35"/>
      <c r="AB14" s="35"/>
      <c r="AC14" s="35"/>
      <c r="AD14"/>
    </row>
    <row r="15" spans="1:30" s="32" customFormat="1" ht="15" x14ac:dyDescent="0.2">
      <c r="B15" s="34"/>
      <c r="C15" s="34">
        <v>43</v>
      </c>
      <c r="D15" s="35">
        <v>571</v>
      </c>
      <c r="E15" s="35">
        <v>503</v>
      </c>
      <c r="F15" s="35">
        <v>600</v>
      </c>
      <c r="G15" s="35">
        <v>590</v>
      </c>
      <c r="H15" s="35">
        <v>600</v>
      </c>
      <c r="I15" s="35">
        <v>670</v>
      </c>
      <c r="J15" s="35">
        <v>590</v>
      </c>
      <c r="K15" s="35">
        <v>590</v>
      </c>
      <c r="L15" s="35">
        <v>650</v>
      </c>
      <c r="M15" s="35">
        <v>560</v>
      </c>
      <c r="N15" s="35">
        <v>643</v>
      </c>
      <c r="O15" s="35">
        <v>630</v>
      </c>
      <c r="P15" s="35">
        <v>586</v>
      </c>
      <c r="Q15" s="35">
        <v>600</v>
      </c>
      <c r="R15" s="35">
        <v>562</v>
      </c>
      <c r="S15" s="35">
        <v>603</v>
      </c>
      <c r="T15" s="35">
        <v>630</v>
      </c>
      <c r="U15" s="35">
        <v>602</v>
      </c>
      <c r="V15" s="35">
        <v>573</v>
      </c>
      <c r="W15" s="35">
        <v>606</v>
      </c>
      <c r="X15" s="35">
        <v>562</v>
      </c>
      <c r="Y15" s="35">
        <v>603</v>
      </c>
      <c r="Z15" s="35">
        <v>604</v>
      </c>
      <c r="AA15" s="35">
        <v>655</v>
      </c>
      <c r="AB15" s="35">
        <v>566</v>
      </c>
      <c r="AC15" s="35">
        <v>600</v>
      </c>
      <c r="AD15"/>
    </row>
    <row r="16" spans="1:30" s="32" customFormat="1" ht="15" x14ac:dyDescent="0.2">
      <c r="B16" s="34"/>
      <c r="C16" s="34">
        <v>50</v>
      </c>
      <c r="D16" s="35">
        <v>304</v>
      </c>
      <c r="E16" s="35">
        <v>267</v>
      </c>
      <c r="F16" s="35">
        <v>370</v>
      </c>
      <c r="G16" s="35">
        <v>270</v>
      </c>
      <c r="H16" s="35">
        <v>355</v>
      </c>
      <c r="I16" s="35">
        <v>340</v>
      </c>
      <c r="J16" s="35">
        <v>310</v>
      </c>
      <c r="K16" s="35">
        <v>285</v>
      </c>
      <c r="L16" s="35">
        <v>252</v>
      </c>
      <c r="M16" s="35">
        <v>200</v>
      </c>
      <c r="N16" s="35">
        <v>246</v>
      </c>
      <c r="O16" s="35">
        <v>245</v>
      </c>
      <c r="P16" s="35">
        <v>287</v>
      </c>
      <c r="Q16" s="35">
        <v>247</v>
      </c>
      <c r="R16" s="35">
        <v>253</v>
      </c>
      <c r="S16" s="35">
        <v>226</v>
      </c>
      <c r="T16" s="35">
        <v>230</v>
      </c>
      <c r="U16" s="35">
        <v>240</v>
      </c>
      <c r="V16" s="35">
        <v>262</v>
      </c>
      <c r="W16" s="35">
        <v>244</v>
      </c>
      <c r="X16" s="35">
        <v>284</v>
      </c>
      <c r="Y16" s="35">
        <v>237</v>
      </c>
      <c r="Z16" s="35">
        <v>187</v>
      </c>
      <c r="AA16" s="35">
        <v>171</v>
      </c>
      <c r="AB16" s="35">
        <v>208</v>
      </c>
      <c r="AC16" s="35">
        <v>191</v>
      </c>
      <c r="AD16"/>
    </row>
    <row r="17" spans="2:30" s="32" customFormat="1" ht="15" x14ac:dyDescent="0.2">
      <c r="B17" s="34"/>
      <c r="C17" s="34">
        <v>55</v>
      </c>
      <c r="D17" s="35">
        <v>277</v>
      </c>
      <c r="E17" s="35">
        <v>280</v>
      </c>
      <c r="F17" s="35">
        <v>345</v>
      </c>
      <c r="G17" s="35">
        <v>300</v>
      </c>
      <c r="H17" s="35">
        <v>313</v>
      </c>
      <c r="I17" s="35">
        <v>320</v>
      </c>
      <c r="J17" s="35">
        <v>350</v>
      </c>
      <c r="K17" s="35">
        <v>345</v>
      </c>
      <c r="L17" s="35">
        <v>380</v>
      </c>
      <c r="M17" s="35">
        <v>377</v>
      </c>
      <c r="N17" s="35">
        <v>348</v>
      </c>
      <c r="O17" s="35">
        <v>370</v>
      </c>
      <c r="P17" s="35">
        <v>368</v>
      </c>
      <c r="Q17" s="35">
        <v>291</v>
      </c>
      <c r="R17" s="35">
        <v>319</v>
      </c>
      <c r="S17" s="35">
        <v>345</v>
      </c>
      <c r="T17" s="35">
        <v>325</v>
      </c>
      <c r="U17" s="35">
        <v>323</v>
      </c>
      <c r="V17" s="35">
        <v>330</v>
      </c>
      <c r="W17" s="35">
        <v>307</v>
      </c>
      <c r="X17" s="35">
        <v>303</v>
      </c>
      <c r="Y17" s="35">
        <v>312</v>
      </c>
      <c r="Z17" s="35">
        <v>282</v>
      </c>
      <c r="AA17" s="35">
        <v>318</v>
      </c>
      <c r="AB17" s="35">
        <v>270</v>
      </c>
      <c r="AC17" s="35">
        <v>221</v>
      </c>
      <c r="AD17"/>
    </row>
    <row r="18" spans="2:30" s="32" customFormat="1" ht="15" x14ac:dyDescent="0.2">
      <c r="B18" s="34"/>
      <c r="C18" s="34">
        <v>65</v>
      </c>
      <c r="D18" s="35">
        <v>201</v>
      </c>
      <c r="E18" s="35">
        <v>203</v>
      </c>
      <c r="F18" s="35">
        <v>235</v>
      </c>
      <c r="G18" s="35">
        <v>240</v>
      </c>
      <c r="H18" s="35">
        <v>204</v>
      </c>
      <c r="I18" s="35">
        <v>210</v>
      </c>
      <c r="J18" s="35">
        <v>210</v>
      </c>
      <c r="K18" s="35">
        <v>190</v>
      </c>
      <c r="L18" s="35">
        <v>195</v>
      </c>
      <c r="M18" s="35">
        <v>200</v>
      </c>
      <c r="N18" s="35">
        <v>199</v>
      </c>
      <c r="O18" s="35">
        <v>198</v>
      </c>
      <c r="P18" s="35">
        <v>190</v>
      </c>
      <c r="Q18" s="35">
        <v>149</v>
      </c>
      <c r="R18" s="35">
        <v>155</v>
      </c>
      <c r="S18" s="35">
        <v>160</v>
      </c>
      <c r="T18" s="35">
        <v>150</v>
      </c>
      <c r="U18" s="35">
        <v>159</v>
      </c>
      <c r="V18" s="35">
        <v>145</v>
      </c>
      <c r="W18" s="35">
        <v>118</v>
      </c>
      <c r="X18" s="35">
        <v>110</v>
      </c>
      <c r="Y18" s="35">
        <v>103</v>
      </c>
      <c r="Z18" s="35">
        <v>107</v>
      </c>
      <c r="AA18" s="35">
        <v>100</v>
      </c>
      <c r="AB18" s="35">
        <v>103</v>
      </c>
      <c r="AC18" s="35">
        <v>100</v>
      </c>
      <c r="AD18"/>
    </row>
    <row r="19" spans="2:30" s="32" customFormat="1" ht="15" x14ac:dyDescent="0.2">
      <c r="B19" s="34"/>
      <c r="C19" s="34">
        <v>75</v>
      </c>
      <c r="D19" s="35">
        <v>30</v>
      </c>
      <c r="E19" s="35">
        <v>24</v>
      </c>
      <c r="F19" s="35">
        <v>54</v>
      </c>
      <c r="G19" s="35">
        <v>60</v>
      </c>
      <c r="H19" s="35">
        <v>30</v>
      </c>
      <c r="I19" s="35">
        <v>29</v>
      </c>
      <c r="J19" s="35">
        <v>26</v>
      </c>
      <c r="K19" s="35">
        <v>23</v>
      </c>
      <c r="L19" s="35">
        <v>18</v>
      </c>
      <c r="M19" s="35">
        <v>16</v>
      </c>
      <c r="N19" s="35">
        <v>12</v>
      </c>
      <c r="O19" s="35">
        <v>10</v>
      </c>
      <c r="P19" s="35">
        <v>9</v>
      </c>
      <c r="Q19" s="35">
        <v>7</v>
      </c>
      <c r="R19" s="35">
        <v>4</v>
      </c>
      <c r="S19" s="35">
        <v>4</v>
      </c>
      <c r="T19" s="35">
        <v>4</v>
      </c>
      <c r="U19" s="35">
        <v>3</v>
      </c>
      <c r="V19" s="35">
        <v>2</v>
      </c>
      <c r="W19" s="35">
        <v>2</v>
      </c>
      <c r="X19" s="35">
        <v>2</v>
      </c>
      <c r="Y19" s="35">
        <v>1.9999999999999998</v>
      </c>
      <c r="Z19" s="35">
        <v>2</v>
      </c>
      <c r="AA19" s="35">
        <v>1</v>
      </c>
      <c r="AB19" s="35">
        <v>2</v>
      </c>
      <c r="AC19" s="35">
        <v>2</v>
      </c>
      <c r="AD19"/>
    </row>
    <row r="20" spans="2:30" s="32" customFormat="1" ht="15" x14ac:dyDescent="0.2">
      <c r="B20" s="34"/>
      <c r="C20" s="34">
        <v>85</v>
      </c>
      <c r="D20" s="35">
        <v>32</v>
      </c>
      <c r="E20" s="35">
        <v>41</v>
      </c>
      <c r="F20" s="35">
        <v>45</v>
      </c>
      <c r="G20" s="35">
        <v>40</v>
      </c>
      <c r="H20" s="35">
        <v>50</v>
      </c>
      <c r="I20" s="35">
        <v>52</v>
      </c>
      <c r="J20" s="35">
        <v>58</v>
      </c>
      <c r="K20" s="35">
        <v>74</v>
      </c>
      <c r="L20" s="35">
        <v>79</v>
      </c>
      <c r="M20" s="35">
        <v>60</v>
      </c>
      <c r="N20" s="35">
        <v>66</v>
      </c>
      <c r="O20" s="35">
        <v>66</v>
      </c>
      <c r="P20" s="35">
        <v>65</v>
      </c>
      <c r="Q20" s="35">
        <v>71</v>
      </c>
      <c r="R20" s="35">
        <v>68</v>
      </c>
      <c r="S20" s="35">
        <v>60</v>
      </c>
      <c r="T20" s="35">
        <v>80</v>
      </c>
      <c r="U20" s="35">
        <v>70</v>
      </c>
      <c r="V20" s="35">
        <v>80</v>
      </c>
      <c r="W20" s="35">
        <v>92</v>
      </c>
      <c r="X20" s="35">
        <v>94</v>
      </c>
      <c r="Y20" s="35">
        <v>98</v>
      </c>
      <c r="Z20" s="35">
        <v>100</v>
      </c>
      <c r="AA20" s="35">
        <v>112</v>
      </c>
      <c r="AB20" s="35">
        <v>93</v>
      </c>
      <c r="AC20" s="35">
        <v>89</v>
      </c>
      <c r="AD20"/>
    </row>
    <row r="21" spans="2:30" s="32" customFormat="1" ht="15" x14ac:dyDescent="0.2">
      <c r="B21" s="34"/>
      <c r="C21" s="34">
        <v>26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>
        <v>0</v>
      </c>
      <c r="W21" s="35"/>
      <c r="X21" s="35"/>
      <c r="Y21" s="35"/>
      <c r="Z21" s="35"/>
      <c r="AA21" s="35"/>
      <c r="AB21" s="35"/>
      <c r="AC21" s="35"/>
      <c r="AD21"/>
    </row>
    <row r="22" spans="2:30" s="32" customFormat="1" ht="15" x14ac:dyDescent="0.2">
      <c r="B22" s="34"/>
      <c r="C22" s="34">
        <v>46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>
        <v>0</v>
      </c>
      <c r="W22" s="35"/>
      <c r="X22" s="35"/>
      <c r="Y22" s="35"/>
      <c r="Z22" s="35"/>
      <c r="AA22" s="35"/>
      <c r="AB22" s="35"/>
      <c r="AC22" s="35"/>
      <c r="AD22"/>
    </row>
    <row r="23" spans="2:30" s="32" customFormat="1" ht="15" x14ac:dyDescent="0.2">
      <c r="B23" s="34" t="s">
        <v>84</v>
      </c>
      <c r="C23" s="34"/>
      <c r="D23" s="35">
        <v>1626</v>
      </c>
      <c r="E23" s="35">
        <v>1442</v>
      </c>
      <c r="F23" s="35">
        <v>1878</v>
      </c>
      <c r="G23" s="35">
        <v>1689</v>
      </c>
      <c r="H23" s="35">
        <v>1741</v>
      </c>
      <c r="I23" s="35">
        <v>1849</v>
      </c>
      <c r="J23" s="35">
        <v>1704</v>
      </c>
      <c r="K23" s="35">
        <v>1738</v>
      </c>
      <c r="L23" s="35">
        <v>1801</v>
      </c>
      <c r="M23" s="35">
        <v>1635</v>
      </c>
      <c r="N23" s="35">
        <v>1630</v>
      </c>
      <c r="O23" s="35">
        <v>1667</v>
      </c>
      <c r="P23" s="35">
        <v>1613</v>
      </c>
      <c r="Q23" s="35">
        <v>1505</v>
      </c>
      <c r="R23" s="35">
        <v>1564</v>
      </c>
      <c r="S23" s="35">
        <v>1486</v>
      </c>
      <c r="T23" s="35">
        <v>1524</v>
      </c>
      <c r="U23" s="35">
        <v>1518</v>
      </c>
      <c r="V23" s="35">
        <v>1490</v>
      </c>
      <c r="W23" s="35">
        <v>1482</v>
      </c>
      <c r="X23" s="35">
        <v>1426</v>
      </c>
      <c r="Y23" s="35">
        <v>1405</v>
      </c>
      <c r="Z23" s="35">
        <v>1335</v>
      </c>
      <c r="AA23" s="35">
        <v>1474</v>
      </c>
      <c r="AB23" s="35">
        <v>1324</v>
      </c>
      <c r="AC23" s="35">
        <v>1325</v>
      </c>
      <c r="AD23"/>
    </row>
    <row r="24" spans="2:30" s="32" customFormat="1" ht="15" x14ac:dyDescent="0.2">
      <c r="B24" s="34" t="s">
        <v>9</v>
      </c>
      <c r="C24" s="34">
        <v>18.5</v>
      </c>
      <c r="D24" s="35">
        <v>10</v>
      </c>
      <c r="E24" s="35"/>
      <c r="F24" s="35"/>
      <c r="G24" s="35"/>
      <c r="H24" s="35"/>
      <c r="I24" s="35"/>
      <c r="J24" s="35"/>
      <c r="K24" s="35"/>
      <c r="L24" s="35"/>
      <c r="M24" s="35"/>
      <c r="N24" s="35">
        <v>1</v>
      </c>
      <c r="O24" s="35">
        <v>1</v>
      </c>
      <c r="P24" s="35">
        <v>1</v>
      </c>
      <c r="Q24" s="35">
        <v>1</v>
      </c>
      <c r="R24" s="35">
        <v>7</v>
      </c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/>
    </row>
    <row r="25" spans="2:30" s="32" customFormat="1" ht="15" x14ac:dyDescent="0.2">
      <c r="B25" s="34"/>
      <c r="C25" s="34">
        <v>21.5</v>
      </c>
      <c r="D25" s="35">
        <v>10</v>
      </c>
      <c r="E25" s="35"/>
      <c r="F25" s="35"/>
      <c r="G25" s="35"/>
      <c r="H25" s="35"/>
      <c r="I25" s="35"/>
      <c r="J25" s="35"/>
      <c r="K25" s="35"/>
      <c r="L25" s="35"/>
      <c r="M25" s="35"/>
      <c r="N25" s="35">
        <v>3</v>
      </c>
      <c r="O25" s="35">
        <v>3</v>
      </c>
      <c r="P25" s="35">
        <v>3</v>
      </c>
      <c r="Q25" s="35">
        <v>3</v>
      </c>
      <c r="R25" s="35">
        <v>8</v>
      </c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/>
    </row>
    <row r="26" spans="2:30" s="32" customFormat="1" ht="15" x14ac:dyDescent="0.2">
      <c r="B26" s="34"/>
      <c r="C26" s="34">
        <v>23.6</v>
      </c>
      <c r="D26" s="35">
        <v>130</v>
      </c>
      <c r="E26" s="35">
        <v>140</v>
      </c>
      <c r="F26" s="35">
        <v>90</v>
      </c>
      <c r="G26" s="35">
        <v>95</v>
      </c>
      <c r="H26" s="35">
        <v>140</v>
      </c>
      <c r="I26" s="35">
        <v>70</v>
      </c>
      <c r="J26" s="35"/>
      <c r="K26" s="35"/>
      <c r="L26" s="35"/>
      <c r="M26" s="35">
        <v>110</v>
      </c>
      <c r="N26" s="35">
        <v>50</v>
      </c>
      <c r="O26" s="35">
        <v>50</v>
      </c>
      <c r="P26" s="35">
        <v>80</v>
      </c>
      <c r="Q26" s="35">
        <v>30</v>
      </c>
      <c r="R26" s="35">
        <v>160</v>
      </c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/>
    </row>
    <row r="27" spans="2:30" s="32" customFormat="1" ht="15" x14ac:dyDescent="0.2">
      <c r="B27" s="34"/>
      <c r="C27" s="34">
        <v>28</v>
      </c>
      <c r="D27" s="35">
        <v>20</v>
      </c>
      <c r="E27" s="35">
        <v>75</v>
      </c>
      <c r="F27" s="35">
        <v>70</v>
      </c>
      <c r="G27" s="35">
        <v>1</v>
      </c>
      <c r="H27" s="35">
        <v>80</v>
      </c>
      <c r="I27" s="35">
        <v>85</v>
      </c>
      <c r="J27" s="35">
        <v>75</v>
      </c>
      <c r="K27" s="35">
        <v>80</v>
      </c>
      <c r="L27" s="35">
        <v>70</v>
      </c>
      <c r="M27" s="35">
        <v>50</v>
      </c>
      <c r="N27" s="35">
        <v>60</v>
      </c>
      <c r="O27" s="35">
        <v>40</v>
      </c>
      <c r="P27" s="35">
        <v>65</v>
      </c>
      <c r="Q27" s="35">
        <v>40</v>
      </c>
      <c r="R27" s="35">
        <v>40</v>
      </c>
      <c r="S27" s="35">
        <v>35</v>
      </c>
      <c r="T27" s="35">
        <v>40</v>
      </c>
      <c r="U27" s="35">
        <v>36</v>
      </c>
      <c r="V27" s="35">
        <v>55</v>
      </c>
      <c r="W27" s="35">
        <v>45</v>
      </c>
      <c r="X27" s="35">
        <v>51</v>
      </c>
      <c r="Y27" s="35">
        <v>48</v>
      </c>
      <c r="Z27" s="35">
        <v>53</v>
      </c>
      <c r="AA27" s="35">
        <v>55</v>
      </c>
      <c r="AB27" s="35">
        <v>46</v>
      </c>
      <c r="AC27" s="35">
        <v>36</v>
      </c>
      <c r="AD27"/>
    </row>
    <row r="28" spans="2:30" s="32" customFormat="1" ht="15" x14ac:dyDescent="0.2">
      <c r="B28" s="34"/>
      <c r="C28" s="34">
        <v>32</v>
      </c>
      <c r="D28" s="35">
        <v>1220</v>
      </c>
      <c r="E28" s="35">
        <v>820</v>
      </c>
      <c r="F28" s="35">
        <v>960</v>
      </c>
      <c r="G28" s="35">
        <v>1050</v>
      </c>
      <c r="H28" s="35">
        <v>1130</v>
      </c>
      <c r="I28" s="35">
        <v>940</v>
      </c>
      <c r="J28" s="35">
        <v>1000</v>
      </c>
      <c r="K28" s="35">
        <v>1200</v>
      </c>
      <c r="L28" s="35">
        <v>1220</v>
      </c>
      <c r="M28" s="35">
        <v>1330</v>
      </c>
      <c r="N28" s="35">
        <v>1250</v>
      </c>
      <c r="O28" s="35">
        <v>1080</v>
      </c>
      <c r="P28" s="35">
        <v>1100</v>
      </c>
      <c r="Q28" s="35">
        <v>1300</v>
      </c>
      <c r="R28" s="35">
        <v>1220</v>
      </c>
      <c r="S28" s="35">
        <v>1455</v>
      </c>
      <c r="T28" s="35">
        <v>1200</v>
      </c>
      <c r="U28" s="35">
        <v>1050</v>
      </c>
      <c r="V28" s="35">
        <v>1100</v>
      </c>
      <c r="W28" s="35">
        <v>950</v>
      </c>
      <c r="X28" s="35">
        <v>1690</v>
      </c>
      <c r="Y28" s="35">
        <v>1633</v>
      </c>
      <c r="Z28" s="35">
        <v>1581</v>
      </c>
      <c r="AA28" s="35">
        <v>1661</v>
      </c>
      <c r="AB28" s="35">
        <v>1720</v>
      </c>
      <c r="AC28" s="35">
        <v>1673</v>
      </c>
      <c r="AD28"/>
    </row>
    <row r="29" spans="2:30" s="32" customFormat="1" ht="15" x14ac:dyDescent="0.2">
      <c r="B29" s="34"/>
      <c r="C29" s="34">
        <v>43</v>
      </c>
      <c r="D29" s="35">
        <v>1330</v>
      </c>
      <c r="E29" s="35">
        <v>1130</v>
      </c>
      <c r="F29" s="35">
        <v>1370</v>
      </c>
      <c r="G29" s="35">
        <v>1040</v>
      </c>
      <c r="H29" s="35">
        <v>1390</v>
      </c>
      <c r="I29" s="35">
        <v>1400</v>
      </c>
      <c r="J29" s="35">
        <v>1300</v>
      </c>
      <c r="K29" s="35">
        <v>1250</v>
      </c>
      <c r="L29" s="35">
        <v>1300</v>
      </c>
      <c r="M29" s="35">
        <v>1200</v>
      </c>
      <c r="N29" s="35">
        <v>1150</v>
      </c>
      <c r="O29" s="35">
        <v>1130</v>
      </c>
      <c r="P29" s="35">
        <v>1570</v>
      </c>
      <c r="Q29" s="35">
        <v>1420</v>
      </c>
      <c r="R29" s="35">
        <v>1520</v>
      </c>
      <c r="S29" s="35">
        <v>1390</v>
      </c>
      <c r="T29" s="35">
        <v>1240</v>
      </c>
      <c r="U29" s="35">
        <v>1160</v>
      </c>
      <c r="V29" s="35">
        <v>1180</v>
      </c>
      <c r="W29" s="35">
        <v>1140</v>
      </c>
      <c r="X29" s="35">
        <v>1369</v>
      </c>
      <c r="Y29" s="35">
        <v>1490</v>
      </c>
      <c r="Z29" s="35">
        <v>1471</v>
      </c>
      <c r="AA29" s="35">
        <v>1510</v>
      </c>
      <c r="AB29" s="35">
        <v>1581</v>
      </c>
      <c r="AC29" s="35">
        <v>1689</v>
      </c>
      <c r="AD29"/>
    </row>
    <row r="30" spans="2:30" s="32" customFormat="1" ht="15" x14ac:dyDescent="0.2">
      <c r="B30" s="34"/>
      <c r="C30" s="34">
        <v>49</v>
      </c>
      <c r="D30" s="35">
        <v>30</v>
      </c>
      <c r="E30" s="35">
        <v>30</v>
      </c>
      <c r="F30" s="35">
        <v>35</v>
      </c>
      <c r="G30" s="35">
        <v>19</v>
      </c>
      <c r="H30" s="35">
        <v>20</v>
      </c>
      <c r="I30" s="35">
        <v>23</v>
      </c>
      <c r="J30" s="35">
        <v>10</v>
      </c>
      <c r="K30" s="35">
        <v>10</v>
      </c>
      <c r="L30" s="35">
        <v>5</v>
      </c>
      <c r="M30" s="35">
        <v>15</v>
      </c>
      <c r="N30" s="35">
        <v>1</v>
      </c>
      <c r="O30" s="35">
        <v>1</v>
      </c>
      <c r="P30" s="35"/>
      <c r="Q30" s="35"/>
      <c r="R30" s="35"/>
      <c r="S30" s="35"/>
      <c r="T30" s="35"/>
      <c r="U30" s="35"/>
      <c r="V30" s="35">
        <v>0</v>
      </c>
      <c r="W30" s="35"/>
      <c r="X30" s="35"/>
      <c r="Y30" s="35"/>
      <c r="Z30" s="35"/>
      <c r="AA30" s="35"/>
      <c r="AB30" s="35"/>
      <c r="AC30" s="35"/>
      <c r="AD30"/>
    </row>
    <row r="31" spans="2:30" s="32" customFormat="1" ht="15" x14ac:dyDescent="0.2">
      <c r="B31" s="34"/>
      <c r="C31" s="34">
        <v>50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>
        <v>530</v>
      </c>
      <c r="Q31" s="35">
        <v>450</v>
      </c>
      <c r="R31" s="35">
        <v>470</v>
      </c>
      <c r="S31" s="35">
        <v>535</v>
      </c>
      <c r="T31" s="35">
        <v>480</v>
      </c>
      <c r="U31" s="35">
        <v>340</v>
      </c>
      <c r="V31" s="35">
        <v>400</v>
      </c>
      <c r="W31" s="35">
        <v>380</v>
      </c>
      <c r="X31" s="35">
        <v>460</v>
      </c>
      <c r="Y31" s="35">
        <v>430</v>
      </c>
      <c r="Z31" s="35">
        <v>355</v>
      </c>
      <c r="AA31" s="35">
        <v>585</v>
      </c>
      <c r="AB31" s="35">
        <v>400</v>
      </c>
      <c r="AC31" s="35">
        <v>390</v>
      </c>
      <c r="AD31"/>
    </row>
    <row r="32" spans="2:30" s="32" customFormat="1" ht="15" x14ac:dyDescent="0.2">
      <c r="B32" s="34"/>
      <c r="C32" s="34">
        <v>55</v>
      </c>
      <c r="D32" s="35">
        <v>510</v>
      </c>
      <c r="E32" s="35">
        <v>530</v>
      </c>
      <c r="F32" s="35">
        <v>620</v>
      </c>
      <c r="G32" s="35">
        <v>550</v>
      </c>
      <c r="H32" s="35">
        <v>620</v>
      </c>
      <c r="I32" s="35">
        <v>600</v>
      </c>
      <c r="J32" s="35">
        <v>610</v>
      </c>
      <c r="K32" s="35">
        <v>580</v>
      </c>
      <c r="L32" s="35">
        <v>590</v>
      </c>
      <c r="M32" s="35">
        <v>535</v>
      </c>
      <c r="N32" s="35">
        <v>500</v>
      </c>
      <c r="O32" s="35">
        <v>600</v>
      </c>
      <c r="P32" s="35">
        <v>620</v>
      </c>
      <c r="Q32" s="35">
        <v>680</v>
      </c>
      <c r="R32" s="35">
        <v>700</v>
      </c>
      <c r="S32" s="35">
        <v>676</v>
      </c>
      <c r="T32" s="35">
        <v>690</v>
      </c>
      <c r="U32" s="35">
        <v>620</v>
      </c>
      <c r="V32" s="35">
        <v>650</v>
      </c>
      <c r="W32" s="35">
        <v>640</v>
      </c>
      <c r="X32" s="35">
        <v>651</v>
      </c>
      <c r="Y32" s="35">
        <v>630</v>
      </c>
      <c r="Z32" s="35">
        <v>620</v>
      </c>
      <c r="AA32" s="35">
        <v>681</v>
      </c>
      <c r="AB32" s="35">
        <v>600</v>
      </c>
      <c r="AC32" s="35">
        <v>516</v>
      </c>
      <c r="AD32"/>
    </row>
    <row r="33" spans="2:30" s="32" customFormat="1" ht="15" x14ac:dyDescent="0.2">
      <c r="B33" s="34"/>
      <c r="C33" s="34">
        <v>58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>
        <v>140</v>
      </c>
      <c r="Q33" s="35">
        <v>180</v>
      </c>
      <c r="R33" s="35">
        <v>180</v>
      </c>
      <c r="S33" s="35">
        <v>185</v>
      </c>
      <c r="T33" s="35">
        <v>150</v>
      </c>
      <c r="U33" s="35">
        <v>110</v>
      </c>
      <c r="V33" s="35">
        <v>100</v>
      </c>
      <c r="W33" s="35">
        <v>110</v>
      </c>
      <c r="X33" s="35">
        <v>100</v>
      </c>
      <c r="Y33" s="35">
        <v>80</v>
      </c>
      <c r="Z33" s="35">
        <v>85</v>
      </c>
      <c r="AA33" s="35">
        <v>90</v>
      </c>
      <c r="AB33" s="35">
        <v>20</v>
      </c>
      <c r="AC33" s="35">
        <v>21</v>
      </c>
      <c r="AD33"/>
    </row>
    <row r="34" spans="2:30" s="32" customFormat="1" ht="15" x14ac:dyDescent="0.2">
      <c r="B34" s="34"/>
      <c r="C34" s="34">
        <v>65</v>
      </c>
      <c r="D34" s="35">
        <v>600</v>
      </c>
      <c r="E34" s="35">
        <v>620</v>
      </c>
      <c r="F34" s="35">
        <v>600</v>
      </c>
      <c r="G34" s="35">
        <v>450</v>
      </c>
      <c r="H34" s="35">
        <v>750</v>
      </c>
      <c r="I34" s="35">
        <v>670</v>
      </c>
      <c r="J34" s="35">
        <v>630</v>
      </c>
      <c r="K34" s="35">
        <v>645</v>
      </c>
      <c r="L34" s="35">
        <v>650</v>
      </c>
      <c r="M34" s="35">
        <v>595</v>
      </c>
      <c r="N34" s="35">
        <v>570</v>
      </c>
      <c r="O34" s="35">
        <v>585</v>
      </c>
      <c r="P34" s="35">
        <v>680</v>
      </c>
      <c r="Q34" s="35">
        <v>600</v>
      </c>
      <c r="R34" s="35">
        <v>695</v>
      </c>
      <c r="S34" s="35">
        <v>755</v>
      </c>
      <c r="T34" s="35">
        <v>775</v>
      </c>
      <c r="U34" s="35">
        <v>800</v>
      </c>
      <c r="V34" s="35">
        <v>750</v>
      </c>
      <c r="W34" s="35">
        <v>760</v>
      </c>
      <c r="X34" s="35">
        <v>800</v>
      </c>
      <c r="Y34" s="35">
        <v>730</v>
      </c>
      <c r="Z34" s="35">
        <v>569</v>
      </c>
      <c r="AA34" s="35">
        <v>700</v>
      </c>
      <c r="AB34" s="35">
        <v>750</v>
      </c>
      <c r="AC34" s="35">
        <v>704</v>
      </c>
      <c r="AD34"/>
    </row>
    <row r="35" spans="2:30" s="32" customFormat="1" ht="15" x14ac:dyDescent="0.2">
      <c r="B35" s="34"/>
      <c r="C35" s="34">
        <v>70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>
        <v>40</v>
      </c>
      <c r="Q35" s="35">
        <v>50</v>
      </c>
      <c r="R35" s="35">
        <v>15</v>
      </c>
      <c r="S35" s="35">
        <v>6</v>
      </c>
      <c r="T35" s="35"/>
      <c r="U35" s="35"/>
      <c r="V35" s="35">
        <v>0</v>
      </c>
      <c r="W35" s="35"/>
      <c r="X35" s="35"/>
      <c r="Y35" s="35"/>
      <c r="Z35" s="35"/>
      <c r="AA35" s="35"/>
      <c r="AB35" s="35"/>
      <c r="AC35" s="35"/>
      <c r="AD35"/>
    </row>
    <row r="36" spans="2:30" s="32" customFormat="1" ht="15" x14ac:dyDescent="0.2">
      <c r="B36" s="34"/>
      <c r="C36" s="34">
        <v>75</v>
      </c>
      <c r="D36" s="35">
        <v>120</v>
      </c>
      <c r="E36" s="35">
        <v>130</v>
      </c>
      <c r="F36" s="35">
        <v>155</v>
      </c>
      <c r="G36" s="35">
        <v>145</v>
      </c>
      <c r="H36" s="35">
        <v>155</v>
      </c>
      <c r="I36" s="35">
        <v>190</v>
      </c>
      <c r="J36" s="35">
        <v>260</v>
      </c>
      <c r="K36" s="35">
        <v>360</v>
      </c>
      <c r="L36" s="35">
        <v>345</v>
      </c>
      <c r="M36" s="35">
        <v>267</v>
      </c>
      <c r="N36" s="35">
        <v>210</v>
      </c>
      <c r="O36" s="35">
        <v>260</v>
      </c>
      <c r="P36" s="35">
        <v>290</v>
      </c>
      <c r="Q36" s="35">
        <v>270</v>
      </c>
      <c r="R36" s="35">
        <v>300</v>
      </c>
      <c r="S36" s="35">
        <v>320</v>
      </c>
      <c r="T36" s="35">
        <v>350</v>
      </c>
      <c r="U36" s="35">
        <v>380</v>
      </c>
      <c r="V36" s="35">
        <v>370</v>
      </c>
      <c r="W36" s="35">
        <v>360</v>
      </c>
      <c r="X36" s="35">
        <v>463</v>
      </c>
      <c r="Y36" s="35">
        <v>360</v>
      </c>
      <c r="Z36" s="35">
        <v>330</v>
      </c>
      <c r="AA36" s="35">
        <v>330</v>
      </c>
      <c r="AB36" s="35">
        <v>380</v>
      </c>
      <c r="AC36" s="35">
        <v>399</v>
      </c>
      <c r="AD36"/>
    </row>
    <row r="37" spans="2:30" s="32" customFormat="1" ht="15" x14ac:dyDescent="0.2">
      <c r="B37" s="34"/>
      <c r="C37" s="34">
        <v>86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>
        <v>3</v>
      </c>
      <c r="O37" s="35">
        <v>4</v>
      </c>
      <c r="P37" s="35">
        <v>3</v>
      </c>
      <c r="Q37" s="35">
        <v>6</v>
      </c>
      <c r="R37" s="35">
        <v>6</v>
      </c>
      <c r="S37" s="35">
        <v>5</v>
      </c>
      <c r="T37" s="35">
        <v>6</v>
      </c>
      <c r="U37" s="35">
        <v>5</v>
      </c>
      <c r="V37" s="35">
        <v>6</v>
      </c>
      <c r="W37" s="35">
        <v>5</v>
      </c>
      <c r="X37" s="35">
        <v>13</v>
      </c>
      <c r="Y37" s="35">
        <v>13</v>
      </c>
      <c r="Z37" s="35">
        <v>18</v>
      </c>
      <c r="AA37" s="35">
        <v>36</v>
      </c>
      <c r="AB37" s="35">
        <v>8</v>
      </c>
      <c r="AC37" s="35">
        <v>15</v>
      </c>
      <c r="AD37"/>
    </row>
    <row r="38" spans="2:30" s="32" customFormat="1" ht="15" x14ac:dyDescent="0.2">
      <c r="B38" s="34"/>
      <c r="C38" s="34">
        <v>98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>
        <v>6</v>
      </c>
      <c r="O38" s="35">
        <v>5</v>
      </c>
      <c r="P38" s="35">
        <v>8</v>
      </c>
      <c r="Q38" s="35">
        <v>6</v>
      </c>
      <c r="R38" s="35">
        <v>1</v>
      </c>
      <c r="S38" s="35">
        <v>1</v>
      </c>
      <c r="T38" s="35">
        <v>2</v>
      </c>
      <c r="U38" s="35">
        <v>2</v>
      </c>
      <c r="V38" s="35">
        <v>2</v>
      </c>
      <c r="W38" s="35">
        <v>1</v>
      </c>
      <c r="X38" s="35">
        <v>5</v>
      </c>
      <c r="Y38" s="35">
        <v>1.9999999999999998</v>
      </c>
      <c r="Z38" s="35">
        <v>4</v>
      </c>
      <c r="AA38" s="35">
        <v>2</v>
      </c>
      <c r="AB38" s="35">
        <v>1</v>
      </c>
      <c r="AC38" s="35">
        <v>2</v>
      </c>
      <c r="AD38"/>
    </row>
    <row r="39" spans="2:30" s="32" customFormat="1" ht="15" x14ac:dyDescent="0.2">
      <c r="B39" s="34"/>
      <c r="C39" s="34">
        <v>90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>
        <v>1</v>
      </c>
      <c r="U39" s="35">
        <v>1</v>
      </c>
      <c r="V39" s="35">
        <v>2</v>
      </c>
      <c r="W39" s="35">
        <v>2</v>
      </c>
      <c r="X39" s="35">
        <v>3</v>
      </c>
      <c r="Y39" s="35">
        <v>3</v>
      </c>
      <c r="Z39" s="35">
        <v>5</v>
      </c>
      <c r="AA39" s="35">
        <v>8</v>
      </c>
      <c r="AB39" s="35">
        <v>3</v>
      </c>
      <c r="AC39" s="35">
        <v>1</v>
      </c>
      <c r="AD39"/>
    </row>
    <row r="40" spans="2:30" s="32" customFormat="1" ht="15" x14ac:dyDescent="0.2">
      <c r="B40" s="34"/>
      <c r="C40" s="34">
        <v>26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>
        <v>0</v>
      </c>
      <c r="W40" s="35"/>
      <c r="X40" s="35"/>
      <c r="Y40" s="35"/>
      <c r="Z40" s="35"/>
      <c r="AA40" s="35"/>
      <c r="AB40" s="35"/>
      <c r="AC40" s="35"/>
      <c r="AD40"/>
    </row>
    <row r="41" spans="2:30" s="32" customFormat="1" ht="15" x14ac:dyDescent="0.2">
      <c r="B41" s="34"/>
      <c r="C41" s="34">
        <v>46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>
        <v>0</v>
      </c>
      <c r="W41" s="35"/>
      <c r="X41" s="35"/>
      <c r="Y41" s="35"/>
      <c r="Z41" s="35"/>
      <c r="AA41" s="35"/>
      <c r="AB41" s="35"/>
      <c r="AC41" s="35"/>
      <c r="AD41"/>
    </row>
    <row r="42" spans="2:30" s="32" customFormat="1" ht="15" x14ac:dyDescent="0.2">
      <c r="B42" s="34"/>
      <c r="C42" s="34">
        <v>37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>
        <v>0</v>
      </c>
      <c r="W42" s="35"/>
      <c r="X42" s="35"/>
      <c r="Y42" s="35"/>
      <c r="Z42" s="35"/>
      <c r="AA42" s="35"/>
      <c r="AB42" s="35"/>
      <c r="AC42" s="35"/>
      <c r="AD42"/>
    </row>
    <row r="43" spans="2:30" s="32" customFormat="1" ht="15" x14ac:dyDescent="0.2">
      <c r="B43" s="34"/>
      <c r="C43" s="34">
        <v>39.5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>
        <v>0</v>
      </c>
      <c r="W43" s="35"/>
      <c r="X43" s="35"/>
      <c r="Y43" s="35"/>
      <c r="Z43" s="35"/>
      <c r="AA43" s="35"/>
      <c r="AB43" s="35"/>
      <c r="AC43" s="35"/>
      <c r="AD43"/>
    </row>
    <row r="44" spans="2:30" s="32" customFormat="1" ht="15" x14ac:dyDescent="0.2">
      <c r="B44" s="34"/>
      <c r="C44" s="34">
        <v>48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>
        <v>0</v>
      </c>
      <c r="W44" s="35"/>
      <c r="X44" s="35"/>
      <c r="Y44" s="35"/>
      <c r="Z44" s="35"/>
      <c r="AA44" s="35"/>
      <c r="AB44" s="35"/>
      <c r="AC44" s="35"/>
      <c r="AD44"/>
    </row>
    <row r="45" spans="2:30" s="32" customFormat="1" ht="15" x14ac:dyDescent="0.2">
      <c r="B45" s="34" t="s">
        <v>85</v>
      </c>
      <c r="C45" s="34"/>
      <c r="D45" s="35">
        <v>3980</v>
      </c>
      <c r="E45" s="35">
        <v>3475</v>
      </c>
      <c r="F45" s="35">
        <v>3900</v>
      </c>
      <c r="G45" s="35">
        <v>3350</v>
      </c>
      <c r="H45" s="35">
        <v>4285</v>
      </c>
      <c r="I45" s="35">
        <v>3978</v>
      </c>
      <c r="J45" s="35">
        <v>3885</v>
      </c>
      <c r="K45" s="35">
        <v>4125</v>
      </c>
      <c r="L45" s="35">
        <v>4180</v>
      </c>
      <c r="M45" s="35">
        <v>4102</v>
      </c>
      <c r="N45" s="35">
        <v>3804</v>
      </c>
      <c r="O45" s="35">
        <v>3759</v>
      </c>
      <c r="P45" s="35">
        <v>5130</v>
      </c>
      <c r="Q45" s="35">
        <v>5036</v>
      </c>
      <c r="R45" s="35">
        <v>5322</v>
      </c>
      <c r="S45" s="35">
        <v>5363</v>
      </c>
      <c r="T45" s="35">
        <v>4934</v>
      </c>
      <c r="U45" s="35">
        <v>4504</v>
      </c>
      <c r="V45" s="35">
        <v>4615</v>
      </c>
      <c r="W45" s="35">
        <v>4393</v>
      </c>
      <c r="X45" s="35">
        <v>5605</v>
      </c>
      <c r="Y45" s="35">
        <v>5419</v>
      </c>
      <c r="Z45" s="35">
        <v>5091</v>
      </c>
      <c r="AA45" s="35">
        <v>5658</v>
      </c>
      <c r="AB45" s="35">
        <v>5509</v>
      </c>
      <c r="AC45" s="35">
        <v>5446</v>
      </c>
      <c r="AD45"/>
    </row>
    <row r="46" spans="2:30" s="32" customFormat="1" ht="15" x14ac:dyDescent="0.2">
      <c r="B46" s="34" t="s">
        <v>2</v>
      </c>
      <c r="C46" s="34">
        <v>23.8</v>
      </c>
      <c r="D46" s="35">
        <v>50</v>
      </c>
      <c r="E46" s="35">
        <v>120</v>
      </c>
      <c r="F46" s="35">
        <v>270</v>
      </c>
      <c r="G46" s="35">
        <v>110</v>
      </c>
      <c r="H46" s="35">
        <v>300</v>
      </c>
      <c r="I46" s="35">
        <v>350</v>
      </c>
      <c r="J46" s="35">
        <v>320</v>
      </c>
      <c r="K46" s="35">
        <v>320</v>
      </c>
      <c r="L46" s="35">
        <v>300</v>
      </c>
      <c r="M46" s="35">
        <v>300</v>
      </c>
      <c r="N46" s="35">
        <v>300</v>
      </c>
      <c r="O46" s="35">
        <v>245</v>
      </c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/>
    </row>
    <row r="47" spans="2:30" s="32" customFormat="1" ht="15" x14ac:dyDescent="0.2">
      <c r="B47" s="34"/>
      <c r="C47" s="34">
        <v>39</v>
      </c>
      <c r="D47" s="35">
        <v>260</v>
      </c>
      <c r="E47" s="35">
        <v>270</v>
      </c>
      <c r="F47" s="35">
        <v>320</v>
      </c>
      <c r="G47" s="35">
        <v>140</v>
      </c>
      <c r="H47" s="35">
        <v>490</v>
      </c>
      <c r="I47" s="35">
        <v>320</v>
      </c>
      <c r="J47" s="35">
        <v>340</v>
      </c>
      <c r="K47" s="35">
        <v>350</v>
      </c>
      <c r="L47" s="35">
        <v>400</v>
      </c>
      <c r="M47" s="35">
        <v>370</v>
      </c>
      <c r="N47" s="35">
        <v>375</v>
      </c>
      <c r="O47" s="35">
        <v>400</v>
      </c>
      <c r="P47" s="35">
        <v>400</v>
      </c>
      <c r="Q47" s="35">
        <v>360</v>
      </c>
      <c r="R47" s="35">
        <v>360</v>
      </c>
      <c r="S47" s="35">
        <v>306</v>
      </c>
      <c r="T47" s="35">
        <v>290</v>
      </c>
      <c r="U47" s="35">
        <v>180</v>
      </c>
      <c r="V47" s="35">
        <v>320</v>
      </c>
      <c r="W47" s="35">
        <v>210</v>
      </c>
      <c r="X47" s="35">
        <v>431</v>
      </c>
      <c r="Y47" s="35">
        <v>380</v>
      </c>
      <c r="Z47" s="35">
        <v>340</v>
      </c>
      <c r="AA47" s="35">
        <v>410</v>
      </c>
      <c r="AB47" s="35">
        <v>320</v>
      </c>
      <c r="AC47" s="35">
        <v>281</v>
      </c>
      <c r="AD47"/>
    </row>
    <row r="48" spans="2:30" s="32" customFormat="1" ht="15" x14ac:dyDescent="0.2">
      <c r="B48" s="34"/>
      <c r="C48" s="34">
        <v>43</v>
      </c>
      <c r="D48" s="35">
        <v>150</v>
      </c>
      <c r="E48" s="35">
        <v>200</v>
      </c>
      <c r="F48" s="35">
        <v>250</v>
      </c>
      <c r="G48" s="35">
        <v>160</v>
      </c>
      <c r="H48" s="35">
        <v>340</v>
      </c>
      <c r="I48" s="35">
        <v>300</v>
      </c>
      <c r="J48" s="35">
        <v>220</v>
      </c>
      <c r="K48" s="35">
        <v>235</v>
      </c>
      <c r="L48" s="35">
        <v>300</v>
      </c>
      <c r="M48" s="35">
        <v>295</v>
      </c>
      <c r="N48" s="35">
        <v>297</v>
      </c>
      <c r="O48" s="35">
        <v>240</v>
      </c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/>
    </row>
    <row r="49" spans="2:30" s="32" customFormat="1" ht="15" x14ac:dyDescent="0.2">
      <c r="B49" s="34"/>
      <c r="C49" s="34">
        <v>50</v>
      </c>
      <c r="D49" s="35">
        <v>375</v>
      </c>
      <c r="E49" s="35">
        <v>360</v>
      </c>
      <c r="F49" s="35">
        <v>560</v>
      </c>
      <c r="G49" s="35">
        <v>300</v>
      </c>
      <c r="H49" s="35">
        <v>350</v>
      </c>
      <c r="I49" s="35">
        <v>750</v>
      </c>
      <c r="J49" s="35">
        <v>565</v>
      </c>
      <c r="K49" s="35">
        <v>545</v>
      </c>
      <c r="L49" s="35">
        <v>500</v>
      </c>
      <c r="M49" s="35">
        <v>500</v>
      </c>
      <c r="N49" s="35">
        <v>450</v>
      </c>
      <c r="O49" s="35">
        <v>430</v>
      </c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/>
    </row>
    <row r="50" spans="2:30" s="32" customFormat="1" ht="15" x14ac:dyDescent="0.2">
      <c r="B50" s="34"/>
      <c r="C50" s="34">
        <v>55</v>
      </c>
      <c r="D50" s="35">
        <v>110</v>
      </c>
      <c r="E50" s="35">
        <v>150</v>
      </c>
      <c r="F50" s="35">
        <v>150</v>
      </c>
      <c r="G50" s="35">
        <v>130</v>
      </c>
      <c r="H50" s="35">
        <v>100</v>
      </c>
      <c r="I50" s="35">
        <v>75</v>
      </c>
      <c r="J50" s="35">
        <v>40</v>
      </c>
      <c r="K50" s="35">
        <v>45</v>
      </c>
      <c r="L50" s="35">
        <v>30</v>
      </c>
      <c r="M50" s="35">
        <v>50</v>
      </c>
      <c r="N50" s="35">
        <v>30</v>
      </c>
      <c r="O50" s="35">
        <v>50</v>
      </c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/>
    </row>
    <row r="51" spans="2:30" s="32" customFormat="1" ht="15" x14ac:dyDescent="0.2">
      <c r="B51" s="34"/>
      <c r="C51" s="34">
        <v>58</v>
      </c>
      <c r="D51" s="35">
        <v>50</v>
      </c>
      <c r="E51" s="35">
        <v>80</v>
      </c>
      <c r="F51" s="35">
        <v>120</v>
      </c>
      <c r="G51" s="35">
        <v>70</v>
      </c>
      <c r="H51" s="35">
        <v>80</v>
      </c>
      <c r="I51" s="35">
        <v>110</v>
      </c>
      <c r="J51" s="35">
        <v>120</v>
      </c>
      <c r="K51" s="35">
        <v>150</v>
      </c>
      <c r="L51" s="35">
        <v>180</v>
      </c>
      <c r="M51" s="35">
        <v>200</v>
      </c>
      <c r="N51" s="35">
        <v>160</v>
      </c>
      <c r="O51" s="35">
        <v>120</v>
      </c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/>
    </row>
    <row r="52" spans="2:30" s="32" customFormat="1" ht="15" x14ac:dyDescent="0.2">
      <c r="B52" s="34"/>
      <c r="C52" s="34">
        <v>65</v>
      </c>
      <c r="D52" s="35">
        <v>25</v>
      </c>
      <c r="E52" s="35">
        <v>20</v>
      </c>
      <c r="F52" s="35">
        <v>23</v>
      </c>
      <c r="G52" s="35">
        <v>10</v>
      </c>
      <c r="H52" s="35"/>
      <c r="I52" s="35"/>
      <c r="J52" s="35">
        <v>1</v>
      </c>
      <c r="K52" s="35">
        <v>0</v>
      </c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/>
    </row>
    <row r="53" spans="2:30" s="32" customFormat="1" ht="15" x14ac:dyDescent="0.2">
      <c r="B53" s="34"/>
      <c r="C53" s="34">
        <v>70</v>
      </c>
      <c r="D53" s="35">
        <v>35</v>
      </c>
      <c r="E53" s="35">
        <v>30</v>
      </c>
      <c r="F53" s="35">
        <v>37</v>
      </c>
      <c r="G53" s="35">
        <v>20</v>
      </c>
      <c r="H53" s="35">
        <v>22</v>
      </c>
      <c r="I53" s="35">
        <v>40</v>
      </c>
      <c r="J53" s="35">
        <v>50</v>
      </c>
      <c r="K53" s="35">
        <v>55</v>
      </c>
      <c r="L53" s="35">
        <v>70</v>
      </c>
      <c r="M53" s="35">
        <v>65</v>
      </c>
      <c r="N53" s="35">
        <v>45</v>
      </c>
      <c r="O53" s="35">
        <v>50</v>
      </c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/>
    </row>
    <row r="54" spans="2:30" s="32" customFormat="1" ht="15" x14ac:dyDescent="0.2">
      <c r="B54" s="34" t="s">
        <v>86</v>
      </c>
      <c r="C54" s="34"/>
      <c r="D54" s="35">
        <v>1055</v>
      </c>
      <c r="E54" s="35">
        <v>1230</v>
      </c>
      <c r="F54" s="35">
        <v>1730</v>
      </c>
      <c r="G54" s="35">
        <v>940</v>
      </c>
      <c r="H54" s="35">
        <v>1682</v>
      </c>
      <c r="I54" s="35">
        <v>1945</v>
      </c>
      <c r="J54" s="35">
        <v>1656</v>
      </c>
      <c r="K54" s="35">
        <v>1700</v>
      </c>
      <c r="L54" s="35">
        <v>1780</v>
      </c>
      <c r="M54" s="35">
        <v>1780</v>
      </c>
      <c r="N54" s="35">
        <v>1657</v>
      </c>
      <c r="O54" s="35">
        <v>1535</v>
      </c>
      <c r="P54" s="35">
        <v>400</v>
      </c>
      <c r="Q54" s="35">
        <v>360</v>
      </c>
      <c r="R54" s="35">
        <v>360</v>
      </c>
      <c r="S54" s="35">
        <v>306</v>
      </c>
      <c r="T54" s="35">
        <v>290</v>
      </c>
      <c r="U54" s="35">
        <v>180</v>
      </c>
      <c r="V54" s="35">
        <v>320</v>
      </c>
      <c r="W54" s="35">
        <v>210</v>
      </c>
      <c r="X54" s="35">
        <v>431</v>
      </c>
      <c r="Y54" s="35">
        <v>380</v>
      </c>
      <c r="Z54" s="35">
        <v>340</v>
      </c>
      <c r="AA54" s="35">
        <v>410</v>
      </c>
      <c r="AB54" s="35">
        <v>320</v>
      </c>
      <c r="AC54" s="35">
        <v>281</v>
      </c>
      <c r="AD54"/>
    </row>
    <row r="55" spans="2:30" s="32" customFormat="1" ht="15" x14ac:dyDescent="0.2">
      <c r="B55" s="34" t="s">
        <v>4</v>
      </c>
      <c r="C55" s="34">
        <v>32</v>
      </c>
      <c r="D55" s="35">
        <v>230</v>
      </c>
      <c r="E55" s="35">
        <v>180</v>
      </c>
      <c r="F55" s="35">
        <v>150</v>
      </c>
      <c r="G55" s="35">
        <v>220</v>
      </c>
      <c r="H55" s="35">
        <v>250</v>
      </c>
      <c r="I55" s="35">
        <v>230</v>
      </c>
      <c r="J55" s="35">
        <v>200</v>
      </c>
      <c r="K55" s="35">
        <v>250</v>
      </c>
      <c r="L55" s="35">
        <v>220</v>
      </c>
      <c r="M55" s="35">
        <v>250</v>
      </c>
      <c r="N55" s="35">
        <v>230</v>
      </c>
      <c r="O55" s="35">
        <v>250</v>
      </c>
      <c r="P55" s="35">
        <v>220</v>
      </c>
      <c r="Q55" s="35">
        <v>225</v>
      </c>
      <c r="R55" s="35">
        <v>220</v>
      </c>
      <c r="S55" s="35">
        <v>50</v>
      </c>
      <c r="T55" s="35">
        <v>220</v>
      </c>
      <c r="U55" s="35">
        <v>210</v>
      </c>
      <c r="V55" s="35">
        <v>220</v>
      </c>
      <c r="W55" s="35">
        <v>230</v>
      </c>
      <c r="X55" s="35">
        <v>260</v>
      </c>
      <c r="Y55" s="35">
        <v>351</v>
      </c>
      <c r="Z55" s="35">
        <v>321</v>
      </c>
      <c r="AA55" s="35">
        <v>410</v>
      </c>
      <c r="AB55" s="35">
        <v>451</v>
      </c>
      <c r="AC55" s="35">
        <v>402</v>
      </c>
      <c r="AD55"/>
    </row>
    <row r="56" spans="2:30" s="32" customFormat="1" ht="15" x14ac:dyDescent="0.2">
      <c r="B56" s="34"/>
      <c r="C56" s="34">
        <v>50</v>
      </c>
      <c r="D56" s="35">
        <v>500</v>
      </c>
      <c r="E56" s="35">
        <v>480</v>
      </c>
      <c r="F56" s="35">
        <v>480</v>
      </c>
      <c r="G56" s="35">
        <v>530</v>
      </c>
      <c r="H56" s="35">
        <v>630</v>
      </c>
      <c r="I56" s="35">
        <v>670</v>
      </c>
      <c r="J56" s="35">
        <v>630</v>
      </c>
      <c r="K56" s="35">
        <v>660</v>
      </c>
      <c r="L56" s="35">
        <v>680</v>
      </c>
      <c r="M56" s="35">
        <v>700</v>
      </c>
      <c r="N56" s="35">
        <v>720</v>
      </c>
      <c r="O56" s="35">
        <v>720</v>
      </c>
      <c r="P56" s="35">
        <v>750</v>
      </c>
      <c r="Q56" s="35">
        <v>680</v>
      </c>
      <c r="R56" s="35">
        <v>749</v>
      </c>
      <c r="S56" s="35">
        <v>700</v>
      </c>
      <c r="T56" s="35">
        <v>740</v>
      </c>
      <c r="U56" s="35">
        <v>720</v>
      </c>
      <c r="V56" s="35">
        <v>610</v>
      </c>
      <c r="W56" s="35">
        <v>640</v>
      </c>
      <c r="X56" s="35">
        <v>622</v>
      </c>
      <c r="Y56" s="35">
        <v>720</v>
      </c>
      <c r="Z56" s="35">
        <v>630</v>
      </c>
      <c r="AA56" s="35">
        <v>780</v>
      </c>
      <c r="AB56" s="35">
        <v>850</v>
      </c>
      <c r="AC56" s="35">
        <v>801</v>
      </c>
      <c r="AD56"/>
    </row>
    <row r="57" spans="2:30" s="32" customFormat="1" ht="15" x14ac:dyDescent="0.2">
      <c r="B57" s="34"/>
      <c r="C57" s="34">
        <v>58</v>
      </c>
      <c r="D57" s="35">
        <v>150</v>
      </c>
      <c r="E57" s="35">
        <v>130</v>
      </c>
      <c r="F57" s="35">
        <v>135</v>
      </c>
      <c r="G57" s="35">
        <v>135</v>
      </c>
      <c r="H57" s="35">
        <v>155</v>
      </c>
      <c r="I57" s="35">
        <v>200</v>
      </c>
      <c r="J57" s="35">
        <v>210</v>
      </c>
      <c r="K57" s="35">
        <v>180</v>
      </c>
      <c r="L57" s="35">
        <v>210</v>
      </c>
      <c r="M57" s="35">
        <v>210</v>
      </c>
      <c r="N57" s="35">
        <v>200</v>
      </c>
      <c r="O57" s="35">
        <v>205</v>
      </c>
      <c r="P57" s="35">
        <v>170</v>
      </c>
      <c r="Q57" s="35">
        <v>200</v>
      </c>
      <c r="R57" s="35">
        <v>201</v>
      </c>
      <c r="S57" s="35">
        <v>205</v>
      </c>
      <c r="T57" s="35">
        <v>215</v>
      </c>
      <c r="U57" s="35">
        <v>200</v>
      </c>
      <c r="V57" s="35">
        <v>180</v>
      </c>
      <c r="W57" s="35">
        <v>185</v>
      </c>
      <c r="X57" s="35">
        <v>164</v>
      </c>
      <c r="Y57" s="35">
        <v>140</v>
      </c>
      <c r="Z57" s="35">
        <v>110</v>
      </c>
      <c r="AA57" s="35">
        <v>120</v>
      </c>
      <c r="AB57" s="35">
        <v>140</v>
      </c>
      <c r="AC57" s="35">
        <v>134</v>
      </c>
      <c r="AD57"/>
    </row>
    <row r="58" spans="2:30" s="32" customFormat="1" ht="15" x14ac:dyDescent="0.2">
      <c r="B58" s="34"/>
      <c r="C58" s="34">
        <v>70</v>
      </c>
      <c r="D58" s="35">
        <v>70</v>
      </c>
      <c r="E58" s="35">
        <v>65</v>
      </c>
      <c r="F58" s="35">
        <v>60</v>
      </c>
      <c r="G58" s="35">
        <v>50</v>
      </c>
      <c r="H58" s="35">
        <v>60</v>
      </c>
      <c r="I58" s="35">
        <v>90</v>
      </c>
      <c r="J58" s="35">
        <v>90</v>
      </c>
      <c r="K58" s="35">
        <v>120</v>
      </c>
      <c r="L58" s="35">
        <v>95</v>
      </c>
      <c r="M58" s="35">
        <v>75</v>
      </c>
      <c r="N58" s="35">
        <v>70</v>
      </c>
      <c r="O58" s="35">
        <v>80</v>
      </c>
      <c r="P58" s="35">
        <v>70</v>
      </c>
      <c r="Q58" s="35">
        <v>60</v>
      </c>
      <c r="R58" s="35">
        <v>66</v>
      </c>
      <c r="S58" s="35">
        <v>65</v>
      </c>
      <c r="T58" s="35">
        <v>70</v>
      </c>
      <c r="U58" s="35">
        <v>70</v>
      </c>
      <c r="V58" s="35">
        <v>80</v>
      </c>
      <c r="W58" s="35">
        <v>90</v>
      </c>
      <c r="X58" s="35">
        <v>80</v>
      </c>
      <c r="Y58" s="35">
        <v>75</v>
      </c>
      <c r="Z58" s="35">
        <v>60</v>
      </c>
      <c r="AA58" s="35">
        <v>95</v>
      </c>
      <c r="AB58" s="35">
        <v>65</v>
      </c>
      <c r="AC58" s="35">
        <v>60</v>
      </c>
      <c r="AD58"/>
    </row>
    <row r="59" spans="2:30" s="32" customFormat="1" ht="15" x14ac:dyDescent="0.2">
      <c r="B59" s="34" t="s">
        <v>87</v>
      </c>
      <c r="C59" s="34"/>
      <c r="D59" s="35">
        <v>950</v>
      </c>
      <c r="E59" s="35">
        <v>855</v>
      </c>
      <c r="F59" s="35">
        <v>825</v>
      </c>
      <c r="G59" s="35">
        <v>935</v>
      </c>
      <c r="H59" s="35">
        <v>1095</v>
      </c>
      <c r="I59" s="35">
        <v>1190</v>
      </c>
      <c r="J59" s="35">
        <v>1130</v>
      </c>
      <c r="K59" s="35">
        <v>1210</v>
      </c>
      <c r="L59" s="35">
        <v>1205</v>
      </c>
      <c r="M59" s="35">
        <v>1235</v>
      </c>
      <c r="N59" s="35">
        <v>1220</v>
      </c>
      <c r="O59" s="35">
        <v>1255</v>
      </c>
      <c r="P59" s="35">
        <v>1210</v>
      </c>
      <c r="Q59" s="35">
        <v>1165</v>
      </c>
      <c r="R59" s="35">
        <v>1236</v>
      </c>
      <c r="S59" s="35">
        <v>1020</v>
      </c>
      <c r="T59" s="35">
        <v>1245</v>
      </c>
      <c r="U59" s="35">
        <v>1200</v>
      </c>
      <c r="V59" s="35">
        <v>1090</v>
      </c>
      <c r="W59" s="35">
        <v>1145</v>
      </c>
      <c r="X59" s="35">
        <v>1126</v>
      </c>
      <c r="Y59" s="35">
        <v>1286</v>
      </c>
      <c r="Z59" s="35">
        <v>1121</v>
      </c>
      <c r="AA59" s="35">
        <v>1405</v>
      </c>
      <c r="AB59" s="35">
        <v>1506</v>
      </c>
      <c r="AC59" s="35">
        <v>1397</v>
      </c>
      <c r="AD59"/>
    </row>
    <row r="60" spans="2:30" s="32" customFormat="1" ht="15" x14ac:dyDescent="0.2">
      <c r="B60" s="34" t="s">
        <v>3</v>
      </c>
      <c r="C60" s="34">
        <v>21.5</v>
      </c>
      <c r="D60" s="35">
        <v>10</v>
      </c>
      <c r="E60" s="35">
        <v>14</v>
      </c>
      <c r="F60" s="35">
        <v>10</v>
      </c>
      <c r="G60" s="35"/>
      <c r="H60" s="35"/>
      <c r="I60" s="35">
        <v>6</v>
      </c>
      <c r="J60" s="35"/>
      <c r="K60" s="35">
        <v>8</v>
      </c>
      <c r="L60" s="35">
        <v>1</v>
      </c>
      <c r="M60" s="35">
        <v>1</v>
      </c>
      <c r="N60" s="35"/>
      <c r="O60" s="35"/>
      <c r="P60" s="35">
        <v>6</v>
      </c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/>
    </row>
    <row r="61" spans="2:30" s="32" customFormat="1" ht="15" x14ac:dyDescent="0.2">
      <c r="B61" s="34"/>
      <c r="C61" s="34">
        <v>28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>
        <v>0</v>
      </c>
      <c r="W61" s="35"/>
      <c r="X61" s="35"/>
      <c r="Y61" s="35"/>
      <c r="Z61" s="35"/>
      <c r="AA61" s="35"/>
      <c r="AB61" s="35"/>
      <c r="AC61" s="35"/>
      <c r="AD61"/>
    </row>
    <row r="62" spans="2:30" s="32" customFormat="1" ht="15" x14ac:dyDescent="0.2">
      <c r="B62" s="34"/>
      <c r="C62" s="34">
        <v>32</v>
      </c>
      <c r="D62" s="35">
        <v>1655</v>
      </c>
      <c r="E62" s="35">
        <v>1498</v>
      </c>
      <c r="F62" s="35">
        <v>1435</v>
      </c>
      <c r="G62" s="35">
        <v>1102</v>
      </c>
      <c r="H62" s="35">
        <v>1223</v>
      </c>
      <c r="I62" s="35">
        <v>1070</v>
      </c>
      <c r="J62" s="35">
        <v>1100</v>
      </c>
      <c r="K62" s="35">
        <v>1030</v>
      </c>
      <c r="L62" s="35">
        <v>1045</v>
      </c>
      <c r="M62" s="35">
        <v>927</v>
      </c>
      <c r="N62" s="35">
        <v>944</v>
      </c>
      <c r="O62" s="35">
        <v>912</v>
      </c>
      <c r="P62" s="35">
        <v>1237</v>
      </c>
      <c r="Q62" s="35">
        <v>1129</v>
      </c>
      <c r="R62" s="35">
        <v>1240</v>
      </c>
      <c r="S62" s="35">
        <v>1039</v>
      </c>
      <c r="T62" s="35">
        <v>1071</v>
      </c>
      <c r="U62" s="35">
        <v>1255</v>
      </c>
      <c r="V62" s="35">
        <v>1243</v>
      </c>
      <c r="W62" s="35">
        <v>911</v>
      </c>
      <c r="X62" s="35">
        <v>900</v>
      </c>
      <c r="Y62" s="35">
        <v>1158</v>
      </c>
      <c r="Z62" s="35">
        <v>1212</v>
      </c>
      <c r="AA62" s="35">
        <v>1451</v>
      </c>
      <c r="AB62" s="35">
        <v>1445</v>
      </c>
      <c r="AC62" s="35">
        <v>1607</v>
      </c>
      <c r="AD62"/>
    </row>
    <row r="63" spans="2:30" s="32" customFormat="1" ht="15" x14ac:dyDescent="0.2">
      <c r="B63" s="34"/>
      <c r="C63" s="34">
        <v>43</v>
      </c>
      <c r="D63" s="35">
        <v>590</v>
      </c>
      <c r="E63" s="35">
        <v>546</v>
      </c>
      <c r="F63" s="35">
        <v>442</v>
      </c>
      <c r="G63" s="35">
        <v>490</v>
      </c>
      <c r="H63" s="35">
        <v>421</v>
      </c>
      <c r="I63" s="35">
        <v>430</v>
      </c>
      <c r="J63" s="35">
        <v>425</v>
      </c>
      <c r="K63" s="35">
        <v>430</v>
      </c>
      <c r="L63" s="35">
        <v>340</v>
      </c>
      <c r="M63" s="35">
        <v>403</v>
      </c>
      <c r="N63" s="35">
        <v>330</v>
      </c>
      <c r="O63" s="35">
        <v>311</v>
      </c>
      <c r="P63" s="35">
        <v>260</v>
      </c>
      <c r="Q63" s="35">
        <v>208</v>
      </c>
      <c r="R63" s="35">
        <v>225</v>
      </c>
      <c r="S63" s="35">
        <v>223</v>
      </c>
      <c r="T63" s="35">
        <v>245</v>
      </c>
      <c r="U63" s="35">
        <v>230</v>
      </c>
      <c r="V63" s="35">
        <v>225</v>
      </c>
      <c r="W63" s="35">
        <v>207</v>
      </c>
      <c r="X63" s="35">
        <v>270</v>
      </c>
      <c r="Y63" s="35">
        <v>202</v>
      </c>
      <c r="Z63" s="35">
        <v>260</v>
      </c>
      <c r="AA63" s="35">
        <v>221</v>
      </c>
      <c r="AB63" s="35">
        <v>290</v>
      </c>
      <c r="AC63" s="35">
        <v>342</v>
      </c>
      <c r="AD63"/>
    </row>
    <row r="64" spans="2:30" s="32" customFormat="1" ht="15" x14ac:dyDescent="0.2">
      <c r="B64" s="34"/>
      <c r="C64" s="34">
        <v>49</v>
      </c>
      <c r="D64" s="35">
        <v>55</v>
      </c>
      <c r="E64" s="35">
        <v>38</v>
      </c>
      <c r="F64" s="35">
        <v>30</v>
      </c>
      <c r="G64" s="35">
        <v>25</v>
      </c>
      <c r="H64" s="35">
        <v>20</v>
      </c>
      <c r="I64" s="35">
        <v>25</v>
      </c>
      <c r="J64" s="35">
        <v>8</v>
      </c>
      <c r="K64" s="35">
        <v>10</v>
      </c>
      <c r="L64" s="35">
        <v>10</v>
      </c>
      <c r="M64" s="35">
        <v>14</v>
      </c>
      <c r="N64" s="35">
        <v>5</v>
      </c>
      <c r="O64" s="35">
        <v>4</v>
      </c>
      <c r="P64" s="35">
        <v>1</v>
      </c>
      <c r="Q64" s="35"/>
      <c r="R64" s="35"/>
      <c r="S64" s="35"/>
      <c r="T64" s="35"/>
      <c r="U64" s="35"/>
      <c r="V64" s="35">
        <v>0</v>
      </c>
      <c r="W64" s="35"/>
      <c r="X64" s="35"/>
      <c r="Y64" s="35"/>
      <c r="Z64" s="35"/>
      <c r="AA64" s="35"/>
      <c r="AB64" s="35"/>
      <c r="AC64" s="35"/>
      <c r="AD64"/>
    </row>
    <row r="65" spans="2:30" s="32" customFormat="1" ht="15" x14ac:dyDescent="0.2">
      <c r="B65" s="34"/>
      <c r="C65" s="34">
        <v>55</v>
      </c>
      <c r="D65" s="35">
        <v>893</v>
      </c>
      <c r="E65" s="35">
        <v>1070</v>
      </c>
      <c r="F65" s="35">
        <v>1118</v>
      </c>
      <c r="G65" s="35">
        <v>1364</v>
      </c>
      <c r="H65" s="35">
        <v>1100</v>
      </c>
      <c r="I65" s="35">
        <v>1080</v>
      </c>
      <c r="J65" s="35">
        <v>1170</v>
      </c>
      <c r="K65" s="35">
        <v>1115</v>
      </c>
      <c r="L65" s="35">
        <v>1130</v>
      </c>
      <c r="M65" s="35">
        <v>1106</v>
      </c>
      <c r="N65" s="35">
        <v>1057</v>
      </c>
      <c r="O65" s="35">
        <v>1067</v>
      </c>
      <c r="P65" s="35">
        <v>1167</v>
      </c>
      <c r="Q65" s="35">
        <v>1060</v>
      </c>
      <c r="R65" s="35">
        <v>1270</v>
      </c>
      <c r="S65" s="35">
        <v>981</v>
      </c>
      <c r="T65" s="35">
        <v>1154</v>
      </c>
      <c r="U65" s="35">
        <v>1238</v>
      </c>
      <c r="V65" s="35">
        <v>1207</v>
      </c>
      <c r="W65" s="35">
        <v>1269</v>
      </c>
      <c r="X65" s="35">
        <v>1145</v>
      </c>
      <c r="Y65" s="35">
        <v>1041</v>
      </c>
      <c r="Z65" s="35">
        <v>986</v>
      </c>
      <c r="AA65" s="35">
        <v>1115</v>
      </c>
      <c r="AB65" s="35">
        <v>1145</v>
      </c>
      <c r="AC65" s="35">
        <v>978</v>
      </c>
      <c r="AD65"/>
    </row>
    <row r="66" spans="2:30" s="32" customFormat="1" ht="15" x14ac:dyDescent="0.2">
      <c r="B66" s="34"/>
      <c r="C66" s="34">
        <v>65</v>
      </c>
      <c r="D66" s="35">
        <v>443</v>
      </c>
      <c r="E66" s="35">
        <v>401</v>
      </c>
      <c r="F66" s="35">
        <v>501</v>
      </c>
      <c r="G66" s="35">
        <v>451</v>
      </c>
      <c r="H66" s="35">
        <v>335</v>
      </c>
      <c r="I66" s="35">
        <v>390</v>
      </c>
      <c r="J66" s="35">
        <v>375</v>
      </c>
      <c r="K66" s="35">
        <v>420</v>
      </c>
      <c r="L66" s="35">
        <v>395</v>
      </c>
      <c r="M66" s="35">
        <v>359</v>
      </c>
      <c r="N66" s="35">
        <v>420</v>
      </c>
      <c r="O66" s="35">
        <v>446</v>
      </c>
      <c r="P66" s="35">
        <v>523</v>
      </c>
      <c r="Q66" s="35">
        <v>575</v>
      </c>
      <c r="R66" s="35">
        <v>608</v>
      </c>
      <c r="S66" s="35">
        <v>774</v>
      </c>
      <c r="T66" s="35">
        <v>691</v>
      </c>
      <c r="U66" s="35">
        <v>665</v>
      </c>
      <c r="V66" s="35">
        <v>661</v>
      </c>
      <c r="W66" s="35">
        <v>673</v>
      </c>
      <c r="X66" s="35">
        <v>780</v>
      </c>
      <c r="Y66" s="35">
        <v>805</v>
      </c>
      <c r="Z66" s="35">
        <v>791</v>
      </c>
      <c r="AA66" s="35">
        <v>830</v>
      </c>
      <c r="AB66" s="35">
        <v>703</v>
      </c>
      <c r="AC66" s="35">
        <v>565</v>
      </c>
      <c r="AD66"/>
    </row>
    <row r="67" spans="2:30" s="32" customFormat="1" ht="15" x14ac:dyDescent="0.2">
      <c r="B67" s="34"/>
      <c r="C67" s="34">
        <v>75</v>
      </c>
      <c r="D67" s="35">
        <v>66</v>
      </c>
      <c r="E67" s="35">
        <v>96</v>
      </c>
      <c r="F67" s="35">
        <v>148</v>
      </c>
      <c r="G67" s="35">
        <v>33</v>
      </c>
      <c r="H67" s="35">
        <v>120</v>
      </c>
      <c r="I67" s="35">
        <v>125</v>
      </c>
      <c r="J67" s="35">
        <v>135</v>
      </c>
      <c r="K67" s="35">
        <v>145</v>
      </c>
      <c r="L67" s="35">
        <v>170</v>
      </c>
      <c r="M67" s="35">
        <v>157</v>
      </c>
      <c r="N67" s="35">
        <v>147</v>
      </c>
      <c r="O67" s="35">
        <v>138</v>
      </c>
      <c r="P67" s="35">
        <v>177</v>
      </c>
      <c r="Q67" s="35">
        <v>108</v>
      </c>
      <c r="R67" s="35">
        <v>230</v>
      </c>
      <c r="S67" s="35">
        <v>222</v>
      </c>
      <c r="T67" s="35">
        <v>244</v>
      </c>
      <c r="U67" s="35">
        <v>183</v>
      </c>
      <c r="V67" s="35">
        <v>279</v>
      </c>
      <c r="W67" s="35">
        <v>307</v>
      </c>
      <c r="X67" s="35">
        <v>360</v>
      </c>
      <c r="Y67" s="35">
        <v>350</v>
      </c>
      <c r="Z67" s="35">
        <v>351</v>
      </c>
      <c r="AA67" s="35">
        <v>380</v>
      </c>
      <c r="AB67" s="35">
        <v>309</v>
      </c>
      <c r="AC67" s="35">
        <v>344</v>
      </c>
      <c r="AD67"/>
    </row>
    <row r="68" spans="2:30" s="32" customFormat="1" ht="15" x14ac:dyDescent="0.2">
      <c r="B68" s="34"/>
      <c r="C68" s="34">
        <v>85</v>
      </c>
      <c r="D68" s="35">
        <v>5</v>
      </c>
      <c r="E68" s="35">
        <v>7</v>
      </c>
      <c r="F68" s="35">
        <v>24</v>
      </c>
      <c r="G68" s="35">
        <v>12</v>
      </c>
      <c r="H68" s="35">
        <v>13</v>
      </c>
      <c r="I68" s="35">
        <v>13</v>
      </c>
      <c r="J68" s="35">
        <v>14</v>
      </c>
      <c r="K68" s="35">
        <v>28</v>
      </c>
      <c r="L68" s="35">
        <v>33</v>
      </c>
      <c r="M68" s="35">
        <v>37</v>
      </c>
      <c r="N68" s="35">
        <v>28</v>
      </c>
      <c r="O68" s="35">
        <v>23</v>
      </c>
      <c r="P68" s="35">
        <v>31</v>
      </c>
      <c r="Q68" s="35">
        <v>28</v>
      </c>
      <c r="R68" s="35">
        <v>23</v>
      </c>
      <c r="S68" s="35">
        <v>19</v>
      </c>
      <c r="T68" s="35">
        <v>27</v>
      </c>
      <c r="U68" s="35">
        <v>18</v>
      </c>
      <c r="V68" s="35">
        <v>22</v>
      </c>
      <c r="W68" s="35">
        <v>21</v>
      </c>
      <c r="X68" s="35">
        <v>22</v>
      </c>
      <c r="Y68" s="35">
        <v>21</v>
      </c>
      <c r="Z68" s="35">
        <v>22</v>
      </c>
      <c r="AA68" s="35">
        <v>24</v>
      </c>
      <c r="AB68" s="35">
        <v>27</v>
      </c>
      <c r="AC68" s="35">
        <v>24</v>
      </c>
      <c r="AD68"/>
    </row>
    <row r="69" spans="2:30" s="32" customFormat="1" ht="15" x14ac:dyDescent="0.2">
      <c r="B69" s="34"/>
      <c r="C69" s="34">
        <v>98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>
        <v>5</v>
      </c>
      <c r="V69" s="35">
        <v>5</v>
      </c>
      <c r="W69" s="35">
        <v>8</v>
      </c>
      <c r="X69" s="35">
        <v>9</v>
      </c>
      <c r="Y69" s="35">
        <v>13</v>
      </c>
      <c r="Z69" s="35">
        <v>8</v>
      </c>
      <c r="AA69" s="35">
        <v>12</v>
      </c>
      <c r="AB69" s="35">
        <v>7</v>
      </c>
      <c r="AC69" s="35">
        <v>5</v>
      </c>
      <c r="AD69"/>
    </row>
    <row r="70" spans="2:30" s="32" customFormat="1" ht="15" x14ac:dyDescent="0.2">
      <c r="B70" s="34"/>
      <c r="C70" s="34">
        <v>46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>
        <v>0</v>
      </c>
      <c r="W70" s="35"/>
      <c r="X70" s="35"/>
      <c r="Y70" s="35"/>
      <c r="Z70" s="35"/>
      <c r="AA70" s="35"/>
      <c r="AB70" s="35"/>
      <c r="AC70" s="35"/>
      <c r="AD70"/>
    </row>
    <row r="71" spans="2:30" s="32" customFormat="1" ht="15" x14ac:dyDescent="0.2">
      <c r="B71" s="34"/>
      <c r="C71" s="34">
        <v>37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>
        <v>0</v>
      </c>
      <c r="W71" s="35"/>
      <c r="X71" s="35"/>
      <c r="Y71" s="35"/>
      <c r="Z71" s="35"/>
      <c r="AA71" s="35"/>
      <c r="AB71" s="35"/>
      <c r="AC71" s="35"/>
      <c r="AD71"/>
    </row>
    <row r="72" spans="2:30" s="32" customFormat="1" ht="15" x14ac:dyDescent="0.2">
      <c r="B72" s="34"/>
      <c r="C72" s="34">
        <v>48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>
        <v>0</v>
      </c>
      <c r="W72" s="35"/>
      <c r="X72" s="35"/>
      <c r="Y72" s="35"/>
      <c r="Z72" s="35"/>
      <c r="AA72" s="35"/>
      <c r="AB72" s="35"/>
      <c r="AC72" s="35"/>
      <c r="AD72"/>
    </row>
    <row r="73" spans="2:30" s="32" customFormat="1" ht="15" x14ac:dyDescent="0.2">
      <c r="B73" s="34" t="s">
        <v>88</v>
      </c>
      <c r="C73" s="34"/>
      <c r="D73" s="35">
        <v>3717</v>
      </c>
      <c r="E73" s="35">
        <v>3670</v>
      </c>
      <c r="F73" s="35">
        <v>3708</v>
      </c>
      <c r="G73" s="35">
        <v>3477</v>
      </c>
      <c r="H73" s="35">
        <v>3232</v>
      </c>
      <c r="I73" s="35">
        <v>3139</v>
      </c>
      <c r="J73" s="35">
        <v>3227</v>
      </c>
      <c r="K73" s="35">
        <v>3186</v>
      </c>
      <c r="L73" s="35">
        <v>3124</v>
      </c>
      <c r="M73" s="35">
        <v>3004</v>
      </c>
      <c r="N73" s="35">
        <v>2931</v>
      </c>
      <c r="O73" s="35">
        <v>2901</v>
      </c>
      <c r="P73" s="35">
        <v>3402</v>
      </c>
      <c r="Q73" s="35">
        <v>3108</v>
      </c>
      <c r="R73" s="35">
        <v>3596</v>
      </c>
      <c r="S73" s="35">
        <v>3258</v>
      </c>
      <c r="T73" s="35">
        <v>3432</v>
      </c>
      <c r="U73" s="35">
        <v>3594</v>
      </c>
      <c r="V73" s="35">
        <v>3642</v>
      </c>
      <c r="W73" s="35">
        <v>3396</v>
      </c>
      <c r="X73" s="35">
        <v>3486</v>
      </c>
      <c r="Y73" s="35">
        <v>3590</v>
      </c>
      <c r="Z73" s="35">
        <v>3630</v>
      </c>
      <c r="AA73" s="35">
        <v>4033</v>
      </c>
      <c r="AB73" s="35">
        <v>3926</v>
      </c>
      <c r="AC73" s="35">
        <v>3865</v>
      </c>
      <c r="AD73"/>
    </row>
    <row r="74" spans="2:30" s="32" customFormat="1" ht="15" x14ac:dyDescent="0.2">
      <c r="B74" s="34" t="s">
        <v>8</v>
      </c>
      <c r="C74" s="34">
        <v>23.6</v>
      </c>
      <c r="D74" s="35">
        <v>260</v>
      </c>
      <c r="E74" s="35">
        <v>530</v>
      </c>
      <c r="F74" s="35">
        <v>150</v>
      </c>
      <c r="G74" s="35">
        <v>200</v>
      </c>
      <c r="H74" s="35">
        <v>160</v>
      </c>
      <c r="I74" s="35">
        <v>275</v>
      </c>
      <c r="J74" s="35">
        <v>200</v>
      </c>
      <c r="K74" s="35">
        <v>340</v>
      </c>
      <c r="L74" s="35">
        <v>312</v>
      </c>
      <c r="M74" s="35">
        <v>358</v>
      </c>
      <c r="N74" s="35">
        <v>380</v>
      </c>
      <c r="O74" s="35">
        <v>350</v>
      </c>
      <c r="P74" s="35">
        <v>300</v>
      </c>
      <c r="Q74" s="35">
        <v>260</v>
      </c>
      <c r="R74" s="35">
        <v>350</v>
      </c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/>
    </row>
    <row r="75" spans="2:30" s="32" customFormat="1" ht="15" x14ac:dyDescent="0.2">
      <c r="B75" s="34"/>
      <c r="C75" s="34">
        <v>32</v>
      </c>
      <c r="D75" s="35">
        <v>680</v>
      </c>
      <c r="E75" s="35">
        <v>1230</v>
      </c>
      <c r="F75" s="35">
        <v>1315</v>
      </c>
      <c r="G75" s="35">
        <v>1090</v>
      </c>
      <c r="H75" s="35">
        <v>1042</v>
      </c>
      <c r="I75" s="35">
        <v>1160</v>
      </c>
      <c r="J75" s="35">
        <v>1079</v>
      </c>
      <c r="K75" s="35">
        <v>1070</v>
      </c>
      <c r="L75" s="35">
        <v>1177</v>
      </c>
      <c r="M75" s="35">
        <v>1102</v>
      </c>
      <c r="N75" s="35">
        <v>918</v>
      </c>
      <c r="O75" s="35">
        <v>1150</v>
      </c>
      <c r="P75" s="35">
        <v>1250</v>
      </c>
      <c r="Q75" s="35">
        <v>1350</v>
      </c>
      <c r="R75" s="35">
        <v>1248</v>
      </c>
      <c r="S75" s="35">
        <v>1140</v>
      </c>
      <c r="T75" s="35">
        <v>1300</v>
      </c>
      <c r="U75" s="35">
        <v>1260</v>
      </c>
      <c r="V75" s="35">
        <v>1300</v>
      </c>
      <c r="W75" s="35">
        <v>910</v>
      </c>
      <c r="X75" s="35">
        <v>1200</v>
      </c>
      <c r="Y75" s="35">
        <v>1082</v>
      </c>
      <c r="Z75" s="35">
        <v>1302</v>
      </c>
      <c r="AA75" s="35">
        <v>1380</v>
      </c>
      <c r="AB75" s="35">
        <v>1381</v>
      </c>
      <c r="AC75" s="35">
        <v>1456</v>
      </c>
      <c r="AD75"/>
    </row>
    <row r="76" spans="2:30" s="32" customFormat="1" ht="15" x14ac:dyDescent="0.2">
      <c r="B76" s="34"/>
      <c r="C76" s="34">
        <v>43</v>
      </c>
      <c r="D76" s="35">
        <v>420</v>
      </c>
      <c r="E76" s="35">
        <v>480</v>
      </c>
      <c r="F76" s="35">
        <v>360</v>
      </c>
      <c r="G76" s="35">
        <v>250</v>
      </c>
      <c r="H76" s="35">
        <v>400</v>
      </c>
      <c r="I76" s="35">
        <v>407</v>
      </c>
      <c r="J76" s="35">
        <v>403</v>
      </c>
      <c r="K76" s="35">
        <v>520</v>
      </c>
      <c r="L76" s="35">
        <v>536</v>
      </c>
      <c r="M76" s="35">
        <v>712</v>
      </c>
      <c r="N76" s="35">
        <v>860</v>
      </c>
      <c r="O76" s="35">
        <v>960</v>
      </c>
      <c r="P76" s="35">
        <v>980</v>
      </c>
      <c r="Q76" s="35">
        <v>765</v>
      </c>
      <c r="R76" s="35">
        <v>1000</v>
      </c>
      <c r="S76" s="35">
        <v>780</v>
      </c>
      <c r="T76" s="35">
        <v>750</v>
      </c>
      <c r="U76" s="35">
        <v>590</v>
      </c>
      <c r="V76" s="35">
        <v>610</v>
      </c>
      <c r="W76" s="35">
        <v>660</v>
      </c>
      <c r="X76" s="35">
        <v>783</v>
      </c>
      <c r="Y76" s="35">
        <v>960</v>
      </c>
      <c r="Z76" s="35">
        <v>850</v>
      </c>
      <c r="AA76" s="35">
        <v>951</v>
      </c>
      <c r="AB76" s="35">
        <v>910</v>
      </c>
      <c r="AC76" s="35">
        <v>899</v>
      </c>
      <c r="AD76"/>
    </row>
    <row r="77" spans="2:30" s="32" customFormat="1" ht="15" x14ac:dyDescent="0.2">
      <c r="B77" s="34"/>
      <c r="C77" s="34">
        <v>50</v>
      </c>
      <c r="D77" s="35">
        <v>190</v>
      </c>
      <c r="E77" s="35">
        <v>200</v>
      </c>
      <c r="F77" s="35">
        <v>290</v>
      </c>
      <c r="G77" s="35">
        <v>310</v>
      </c>
      <c r="H77" s="35">
        <v>300</v>
      </c>
      <c r="I77" s="35">
        <v>350</v>
      </c>
      <c r="J77" s="35">
        <v>370</v>
      </c>
      <c r="K77" s="35">
        <v>400</v>
      </c>
      <c r="L77" s="35">
        <v>350</v>
      </c>
      <c r="M77" s="35">
        <v>340</v>
      </c>
      <c r="N77" s="35">
        <v>365</v>
      </c>
      <c r="O77" s="35">
        <v>450</v>
      </c>
      <c r="P77" s="35">
        <v>400</v>
      </c>
      <c r="Q77" s="35">
        <v>310</v>
      </c>
      <c r="R77" s="35">
        <v>452</v>
      </c>
      <c r="S77" s="35">
        <v>400</v>
      </c>
      <c r="T77" s="35">
        <v>550</v>
      </c>
      <c r="U77" s="35">
        <v>520</v>
      </c>
      <c r="V77" s="35">
        <v>450</v>
      </c>
      <c r="W77" s="35">
        <v>450</v>
      </c>
      <c r="X77" s="35">
        <v>460</v>
      </c>
      <c r="Y77" s="35">
        <v>380</v>
      </c>
      <c r="Z77" s="35">
        <v>460</v>
      </c>
      <c r="AA77" s="35">
        <v>420</v>
      </c>
      <c r="AB77" s="35">
        <v>380</v>
      </c>
      <c r="AC77" s="35">
        <v>412</v>
      </c>
      <c r="AD77"/>
    </row>
    <row r="78" spans="2:30" s="32" customFormat="1" ht="15" x14ac:dyDescent="0.2">
      <c r="B78" s="34"/>
      <c r="C78" s="34">
        <v>55</v>
      </c>
      <c r="D78" s="35"/>
      <c r="E78" s="35"/>
      <c r="F78" s="35">
        <v>12</v>
      </c>
      <c r="G78" s="35">
        <v>25</v>
      </c>
      <c r="H78" s="35">
        <v>74</v>
      </c>
      <c r="I78" s="35">
        <v>70</v>
      </c>
      <c r="J78" s="35">
        <v>180</v>
      </c>
      <c r="K78" s="35">
        <v>220</v>
      </c>
      <c r="L78" s="35">
        <v>185</v>
      </c>
      <c r="M78" s="35">
        <v>228</v>
      </c>
      <c r="N78" s="35">
        <v>270</v>
      </c>
      <c r="O78" s="35">
        <v>190</v>
      </c>
      <c r="P78" s="35">
        <v>200</v>
      </c>
      <c r="Q78" s="35">
        <v>215</v>
      </c>
      <c r="R78" s="35">
        <v>381</v>
      </c>
      <c r="S78" s="35">
        <v>350</v>
      </c>
      <c r="T78" s="35">
        <v>410</v>
      </c>
      <c r="U78" s="35">
        <v>410</v>
      </c>
      <c r="V78" s="35">
        <v>400</v>
      </c>
      <c r="W78" s="35">
        <v>380</v>
      </c>
      <c r="X78" s="35">
        <v>440</v>
      </c>
      <c r="Y78" s="35">
        <v>560</v>
      </c>
      <c r="Z78" s="35">
        <v>459</v>
      </c>
      <c r="AA78" s="35">
        <v>650</v>
      </c>
      <c r="AB78" s="35">
        <v>270</v>
      </c>
      <c r="AC78" s="35">
        <v>457</v>
      </c>
      <c r="AD78"/>
    </row>
    <row r="79" spans="2:30" s="32" customFormat="1" ht="15" x14ac:dyDescent="0.2">
      <c r="B79" s="34"/>
      <c r="C79" s="34">
        <v>58</v>
      </c>
      <c r="D79" s="35">
        <v>1</v>
      </c>
      <c r="E79" s="35">
        <v>8</v>
      </c>
      <c r="F79" s="35">
        <v>0</v>
      </c>
      <c r="G79" s="35">
        <v>40</v>
      </c>
      <c r="H79" s="35">
        <v>70</v>
      </c>
      <c r="I79" s="35">
        <v>80</v>
      </c>
      <c r="J79" s="35">
        <v>50</v>
      </c>
      <c r="K79" s="35">
        <v>70</v>
      </c>
      <c r="L79" s="35">
        <v>30</v>
      </c>
      <c r="M79" s="35">
        <v>35</v>
      </c>
      <c r="N79" s="35">
        <v>45</v>
      </c>
      <c r="O79" s="35">
        <v>50</v>
      </c>
      <c r="P79" s="35">
        <v>50</v>
      </c>
      <c r="Q79" s="35">
        <v>50</v>
      </c>
      <c r="R79" s="35">
        <v>40</v>
      </c>
      <c r="S79" s="35">
        <v>40</v>
      </c>
      <c r="T79" s="35">
        <v>50</v>
      </c>
      <c r="U79" s="35">
        <v>60</v>
      </c>
      <c r="V79" s="35">
        <v>77</v>
      </c>
      <c r="W79" s="35">
        <v>50</v>
      </c>
      <c r="X79" s="35">
        <v>91</v>
      </c>
      <c r="Y79" s="35">
        <v>60</v>
      </c>
      <c r="Z79" s="35">
        <v>80</v>
      </c>
      <c r="AA79" s="35">
        <v>70</v>
      </c>
      <c r="AB79" s="35">
        <v>30</v>
      </c>
      <c r="AC79" s="35">
        <v>14</v>
      </c>
      <c r="AD79"/>
    </row>
    <row r="80" spans="2:30" s="32" customFormat="1" ht="15" x14ac:dyDescent="0.2">
      <c r="B80" s="34"/>
      <c r="C80" s="34">
        <v>65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>
        <v>0</v>
      </c>
      <c r="W80" s="35"/>
      <c r="X80" s="35">
        <v>5</v>
      </c>
      <c r="Y80" s="35">
        <v>3</v>
      </c>
      <c r="Z80" s="35">
        <v>5</v>
      </c>
      <c r="AA80" s="35">
        <v>40</v>
      </c>
      <c r="AB80" s="35">
        <v>30</v>
      </c>
      <c r="AC80" s="35">
        <v>43</v>
      </c>
      <c r="AD80"/>
    </row>
    <row r="81" spans="2:30" s="32" customFormat="1" ht="15" x14ac:dyDescent="0.2">
      <c r="B81" s="34"/>
      <c r="C81" s="34">
        <v>85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>
        <v>12</v>
      </c>
      <c r="Z81" s="35">
        <v>10</v>
      </c>
      <c r="AA81" s="35">
        <v>20</v>
      </c>
      <c r="AB81" s="35">
        <v>30</v>
      </c>
      <c r="AC81" s="35">
        <v>35</v>
      </c>
      <c r="AD81"/>
    </row>
    <row r="82" spans="2:30" s="32" customFormat="1" ht="15" x14ac:dyDescent="0.2">
      <c r="B82" s="34" t="s">
        <v>89</v>
      </c>
      <c r="C82" s="34"/>
      <c r="D82" s="35">
        <v>1551</v>
      </c>
      <c r="E82" s="35">
        <v>2448</v>
      </c>
      <c r="F82" s="35">
        <v>2127</v>
      </c>
      <c r="G82" s="35">
        <v>1915</v>
      </c>
      <c r="H82" s="35">
        <v>2046</v>
      </c>
      <c r="I82" s="35">
        <v>2342</v>
      </c>
      <c r="J82" s="35">
        <v>2282</v>
      </c>
      <c r="K82" s="35">
        <v>2620</v>
      </c>
      <c r="L82" s="35">
        <v>2590</v>
      </c>
      <c r="M82" s="35">
        <v>2775</v>
      </c>
      <c r="N82" s="35">
        <v>2838</v>
      </c>
      <c r="O82" s="35">
        <v>3150</v>
      </c>
      <c r="P82" s="35">
        <v>3180</v>
      </c>
      <c r="Q82" s="35">
        <v>2950</v>
      </c>
      <c r="R82" s="35">
        <v>3471</v>
      </c>
      <c r="S82" s="35">
        <v>2710</v>
      </c>
      <c r="T82" s="35">
        <v>3060</v>
      </c>
      <c r="U82" s="35">
        <v>2840</v>
      </c>
      <c r="V82" s="35">
        <v>2837</v>
      </c>
      <c r="W82" s="35">
        <v>2450</v>
      </c>
      <c r="X82" s="35">
        <v>2979</v>
      </c>
      <c r="Y82" s="35">
        <v>3057</v>
      </c>
      <c r="Z82" s="35">
        <v>3166</v>
      </c>
      <c r="AA82" s="35">
        <v>3531</v>
      </c>
      <c r="AB82" s="35">
        <v>3031</v>
      </c>
      <c r="AC82" s="35">
        <v>3316</v>
      </c>
      <c r="AD82"/>
    </row>
    <row r="83" spans="2:30" s="32" customFormat="1" ht="15" x14ac:dyDescent="0.2">
      <c r="B83" s="34" t="s">
        <v>39</v>
      </c>
      <c r="C83" s="34">
        <v>18.5</v>
      </c>
      <c r="D83" s="35">
        <v>19</v>
      </c>
      <c r="E83" s="35">
        <v>2</v>
      </c>
      <c r="F83" s="35">
        <v>29</v>
      </c>
      <c r="G83" s="35">
        <v>14</v>
      </c>
      <c r="H83" s="35">
        <v>19</v>
      </c>
      <c r="I83" s="35">
        <v>11</v>
      </c>
      <c r="J83" s="35">
        <v>9</v>
      </c>
      <c r="K83" s="35">
        <v>10</v>
      </c>
      <c r="L83" s="35">
        <v>15</v>
      </c>
      <c r="M83" s="35">
        <v>11</v>
      </c>
      <c r="N83" s="35">
        <v>15</v>
      </c>
      <c r="O83" s="35">
        <v>18</v>
      </c>
      <c r="P83" s="35">
        <v>20</v>
      </c>
      <c r="Q83" s="35">
        <v>9</v>
      </c>
      <c r="R83" s="35">
        <v>17</v>
      </c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/>
    </row>
    <row r="84" spans="2:30" s="32" customFormat="1" ht="15" x14ac:dyDescent="0.2">
      <c r="B84" s="34"/>
      <c r="C84" s="34">
        <v>23.6</v>
      </c>
      <c r="D84" s="35">
        <v>366</v>
      </c>
      <c r="E84" s="35">
        <v>231</v>
      </c>
      <c r="F84" s="35">
        <v>662</v>
      </c>
      <c r="G84" s="35">
        <v>594</v>
      </c>
      <c r="H84" s="35">
        <v>510</v>
      </c>
      <c r="I84" s="35">
        <v>249</v>
      </c>
      <c r="J84" s="35">
        <v>320</v>
      </c>
      <c r="K84" s="35">
        <v>484</v>
      </c>
      <c r="L84" s="35">
        <v>559</v>
      </c>
      <c r="M84" s="35">
        <v>503</v>
      </c>
      <c r="N84" s="35">
        <v>475</v>
      </c>
      <c r="O84" s="35">
        <v>552</v>
      </c>
      <c r="P84" s="35">
        <v>616</v>
      </c>
      <c r="Q84" s="35">
        <v>439</v>
      </c>
      <c r="R84" s="35">
        <v>425</v>
      </c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/>
    </row>
    <row r="85" spans="2:30" s="32" customFormat="1" ht="15" x14ac:dyDescent="0.2">
      <c r="B85" s="34"/>
      <c r="C85" s="34">
        <v>32</v>
      </c>
      <c r="D85" s="35">
        <v>710</v>
      </c>
      <c r="E85" s="35">
        <v>539</v>
      </c>
      <c r="F85" s="35">
        <v>833</v>
      </c>
      <c r="G85" s="35">
        <v>925</v>
      </c>
      <c r="H85" s="35">
        <v>988</v>
      </c>
      <c r="I85" s="35">
        <v>1039</v>
      </c>
      <c r="J85" s="35">
        <v>948</v>
      </c>
      <c r="K85" s="35">
        <v>809</v>
      </c>
      <c r="L85" s="35">
        <v>762</v>
      </c>
      <c r="M85" s="35">
        <v>752</v>
      </c>
      <c r="N85" s="35">
        <v>797</v>
      </c>
      <c r="O85" s="35">
        <v>940</v>
      </c>
      <c r="P85" s="35">
        <v>718</v>
      </c>
      <c r="Q85" s="35">
        <v>744</v>
      </c>
      <c r="R85" s="35">
        <v>845</v>
      </c>
      <c r="S85" s="35">
        <v>673</v>
      </c>
      <c r="T85" s="35">
        <v>730</v>
      </c>
      <c r="U85" s="35">
        <v>710</v>
      </c>
      <c r="V85" s="35">
        <v>764</v>
      </c>
      <c r="W85" s="35">
        <v>769</v>
      </c>
      <c r="X85" s="35">
        <v>672</v>
      </c>
      <c r="Y85" s="35">
        <v>612</v>
      </c>
      <c r="Z85" s="35">
        <v>672</v>
      </c>
      <c r="AA85" s="35">
        <v>800</v>
      </c>
      <c r="AB85" s="35">
        <v>760</v>
      </c>
      <c r="AC85" s="35">
        <v>683</v>
      </c>
      <c r="AD85"/>
    </row>
    <row r="86" spans="2:30" s="32" customFormat="1" ht="15" x14ac:dyDescent="0.2">
      <c r="B86" s="34"/>
      <c r="C86" s="34">
        <v>39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>
        <v>0</v>
      </c>
      <c r="W86" s="35"/>
      <c r="X86" s="35"/>
      <c r="Y86" s="35"/>
      <c r="Z86" s="35"/>
      <c r="AA86" s="35"/>
      <c r="AB86" s="35"/>
      <c r="AC86" s="35"/>
      <c r="AD86"/>
    </row>
    <row r="87" spans="2:30" s="32" customFormat="1" ht="15" x14ac:dyDescent="0.2">
      <c r="B87" s="34"/>
      <c r="C87" s="34">
        <v>40</v>
      </c>
      <c r="D87" s="35">
        <v>1097</v>
      </c>
      <c r="E87" s="35">
        <v>842</v>
      </c>
      <c r="F87" s="35">
        <v>1196</v>
      </c>
      <c r="G87" s="35">
        <v>1041</v>
      </c>
      <c r="H87" s="35">
        <v>1271</v>
      </c>
      <c r="I87" s="35">
        <v>1158</v>
      </c>
      <c r="J87" s="35">
        <v>1113</v>
      </c>
      <c r="K87" s="35">
        <v>1231</v>
      </c>
      <c r="L87" s="35">
        <v>1156</v>
      </c>
      <c r="M87" s="35">
        <v>1031</v>
      </c>
      <c r="N87" s="35">
        <v>953</v>
      </c>
      <c r="O87" s="35">
        <v>1272</v>
      </c>
      <c r="P87" s="35">
        <v>1092</v>
      </c>
      <c r="Q87" s="35">
        <v>996</v>
      </c>
      <c r="R87" s="35">
        <v>1090</v>
      </c>
      <c r="S87" s="35">
        <v>1041</v>
      </c>
      <c r="T87" s="35">
        <v>846</v>
      </c>
      <c r="U87" s="35">
        <v>1046</v>
      </c>
      <c r="V87" s="35">
        <v>993</v>
      </c>
      <c r="W87" s="35">
        <v>874</v>
      </c>
      <c r="X87" s="35">
        <v>889</v>
      </c>
      <c r="Y87" s="35">
        <v>923</v>
      </c>
      <c r="Z87" s="35">
        <v>860</v>
      </c>
      <c r="AA87" s="35">
        <v>955</v>
      </c>
      <c r="AB87" s="35">
        <v>793</v>
      </c>
      <c r="AC87" s="35">
        <v>668</v>
      </c>
      <c r="AD87"/>
    </row>
    <row r="88" spans="2:30" s="32" customFormat="1" ht="15" x14ac:dyDescent="0.2">
      <c r="B88" s="34"/>
      <c r="C88" s="34">
        <v>42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>
        <v>0</v>
      </c>
      <c r="W88" s="35"/>
      <c r="X88" s="35"/>
      <c r="Y88" s="35"/>
      <c r="Z88" s="35"/>
      <c r="AA88" s="35"/>
      <c r="AB88" s="35"/>
      <c r="AC88" s="35"/>
      <c r="AD88"/>
    </row>
    <row r="89" spans="2:30" s="32" customFormat="1" ht="15" x14ac:dyDescent="0.2">
      <c r="B89" s="34"/>
      <c r="C89" s="34">
        <v>43</v>
      </c>
      <c r="D89" s="35">
        <v>95</v>
      </c>
      <c r="E89" s="35">
        <v>170</v>
      </c>
      <c r="F89" s="35">
        <v>314</v>
      </c>
      <c r="G89" s="35">
        <v>164</v>
      </c>
      <c r="H89" s="35">
        <v>251</v>
      </c>
      <c r="I89" s="35">
        <v>274</v>
      </c>
      <c r="J89" s="35">
        <v>281</v>
      </c>
      <c r="K89" s="35">
        <v>290</v>
      </c>
      <c r="L89" s="35">
        <v>236</v>
      </c>
      <c r="M89" s="35">
        <v>254</v>
      </c>
      <c r="N89" s="35">
        <v>269</v>
      </c>
      <c r="O89" s="35">
        <v>320</v>
      </c>
      <c r="P89" s="35">
        <v>219</v>
      </c>
      <c r="Q89" s="35">
        <v>185</v>
      </c>
      <c r="R89" s="35">
        <v>280</v>
      </c>
      <c r="S89" s="35">
        <v>266</v>
      </c>
      <c r="T89" s="35">
        <v>227</v>
      </c>
      <c r="U89" s="35">
        <v>310</v>
      </c>
      <c r="V89" s="35">
        <v>235</v>
      </c>
      <c r="W89" s="35">
        <v>301</v>
      </c>
      <c r="X89" s="35">
        <v>215</v>
      </c>
      <c r="Y89" s="35">
        <v>255</v>
      </c>
      <c r="Z89" s="35">
        <v>359</v>
      </c>
      <c r="AA89" s="35">
        <v>346</v>
      </c>
      <c r="AB89" s="35">
        <v>235</v>
      </c>
      <c r="AC89" s="35">
        <v>248</v>
      </c>
      <c r="AD89"/>
    </row>
    <row r="90" spans="2:30" s="32" customFormat="1" ht="15" x14ac:dyDescent="0.2">
      <c r="B90" s="34"/>
      <c r="C90" s="34">
        <v>45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>
        <v>0</v>
      </c>
      <c r="W90" s="35"/>
      <c r="X90" s="35"/>
      <c r="Y90" s="35"/>
      <c r="Z90" s="35"/>
      <c r="AA90" s="35"/>
      <c r="AB90" s="35"/>
      <c r="AC90" s="35"/>
      <c r="AD90"/>
    </row>
    <row r="91" spans="2:30" s="32" customFormat="1" ht="15" x14ac:dyDescent="0.2">
      <c r="B91" s="34"/>
      <c r="C91" s="34">
        <v>50</v>
      </c>
      <c r="D91" s="35">
        <v>578</v>
      </c>
      <c r="E91" s="35">
        <v>484</v>
      </c>
      <c r="F91" s="35">
        <v>703</v>
      </c>
      <c r="G91" s="35">
        <v>655</v>
      </c>
      <c r="H91" s="35">
        <v>724</v>
      </c>
      <c r="I91" s="35">
        <v>743</v>
      </c>
      <c r="J91" s="35">
        <v>898</v>
      </c>
      <c r="K91" s="35">
        <v>710</v>
      </c>
      <c r="L91" s="35">
        <v>762</v>
      </c>
      <c r="M91" s="35">
        <v>684</v>
      </c>
      <c r="N91" s="35">
        <v>716</v>
      </c>
      <c r="O91" s="35">
        <v>689</v>
      </c>
      <c r="P91" s="35">
        <v>607</v>
      </c>
      <c r="Q91" s="35">
        <v>545</v>
      </c>
      <c r="R91" s="35">
        <v>625</v>
      </c>
      <c r="S91" s="35">
        <v>664</v>
      </c>
      <c r="T91" s="35">
        <v>580</v>
      </c>
      <c r="U91" s="35">
        <v>612</v>
      </c>
      <c r="V91" s="35">
        <v>619</v>
      </c>
      <c r="W91" s="35">
        <v>662</v>
      </c>
      <c r="X91" s="35">
        <v>530</v>
      </c>
      <c r="Y91" s="35">
        <v>605</v>
      </c>
      <c r="Z91" s="35">
        <v>665</v>
      </c>
      <c r="AA91" s="35">
        <v>626</v>
      </c>
      <c r="AB91" s="35">
        <v>405</v>
      </c>
      <c r="AC91" s="35">
        <v>579</v>
      </c>
      <c r="AD91"/>
    </row>
    <row r="92" spans="2:30" s="32" customFormat="1" ht="15" x14ac:dyDescent="0.2">
      <c r="B92" s="34"/>
      <c r="C92" s="34">
        <v>55</v>
      </c>
      <c r="D92" s="35"/>
      <c r="E92" s="35"/>
      <c r="F92" s="35"/>
      <c r="G92" s="35"/>
      <c r="H92" s="35"/>
      <c r="I92" s="35"/>
      <c r="J92" s="35"/>
      <c r="K92" s="35"/>
      <c r="L92" s="35">
        <v>4</v>
      </c>
      <c r="M92" s="35">
        <v>6</v>
      </c>
      <c r="N92" s="35">
        <v>8</v>
      </c>
      <c r="O92" s="35">
        <v>12</v>
      </c>
      <c r="P92" s="35">
        <v>21</v>
      </c>
      <c r="Q92" s="35">
        <v>25</v>
      </c>
      <c r="R92" s="35">
        <v>22</v>
      </c>
      <c r="S92" s="35">
        <v>34</v>
      </c>
      <c r="T92" s="35">
        <v>12</v>
      </c>
      <c r="U92" s="35">
        <v>15</v>
      </c>
      <c r="V92" s="35">
        <v>12</v>
      </c>
      <c r="W92" s="35">
        <v>4</v>
      </c>
      <c r="X92" s="35">
        <v>41</v>
      </c>
      <c r="Y92" s="35">
        <v>42</v>
      </c>
      <c r="Z92" s="35">
        <v>35</v>
      </c>
      <c r="AA92" s="35">
        <v>6</v>
      </c>
      <c r="AB92" s="35">
        <v>18</v>
      </c>
      <c r="AC92" s="35">
        <v>13</v>
      </c>
      <c r="AD92"/>
    </row>
    <row r="93" spans="2:30" s="32" customFormat="1" ht="15" x14ac:dyDescent="0.2">
      <c r="B93" s="34"/>
      <c r="C93" s="34">
        <v>58</v>
      </c>
      <c r="D93" s="35">
        <v>50</v>
      </c>
      <c r="E93" s="35">
        <v>54</v>
      </c>
      <c r="F93" s="35">
        <v>62</v>
      </c>
      <c r="G93" s="35">
        <v>63</v>
      </c>
      <c r="H93" s="35">
        <v>49</v>
      </c>
      <c r="I93" s="35">
        <v>56</v>
      </c>
      <c r="J93" s="35">
        <v>38</v>
      </c>
      <c r="K93" s="35">
        <v>43</v>
      </c>
      <c r="L93" s="35">
        <v>39</v>
      </c>
      <c r="M93" s="35">
        <v>44</v>
      </c>
      <c r="N93" s="35">
        <v>20</v>
      </c>
      <c r="O93" s="35">
        <v>17</v>
      </c>
      <c r="P93" s="35">
        <v>16</v>
      </c>
      <c r="Q93" s="35">
        <v>7</v>
      </c>
      <c r="R93" s="35">
        <v>15</v>
      </c>
      <c r="S93" s="35">
        <v>15</v>
      </c>
      <c r="T93" s="35">
        <v>13</v>
      </c>
      <c r="U93" s="35">
        <v>9</v>
      </c>
      <c r="V93" s="35">
        <v>10</v>
      </c>
      <c r="W93" s="35">
        <v>11</v>
      </c>
      <c r="X93" s="35">
        <v>11</v>
      </c>
      <c r="Y93" s="35">
        <v>12</v>
      </c>
      <c r="Z93" s="35">
        <v>10</v>
      </c>
      <c r="AA93" s="35">
        <v>5</v>
      </c>
      <c r="AB93" s="35">
        <v>3</v>
      </c>
      <c r="AC93" s="35">
        <v>3</v>
      </c>
      <c r="AD93"/>
    </row>
    <row r="94" spans="2:30" s="32" customFormat="1" ht="15" x14ac:dyDescent="0.2">
      <c r="B94" s="34"/>
      <c r="C94" s="34">
        <v>65</v>
      </c>
      <c r="D94" s="35">
        <v>32</v>
      </c>
      <c r="E94" s="35">
        <v>39</v>
      </c>
      <c r="F94" s="35">
        <v>43</v>
      </c>
      <c r="G94" s="35">
        <v>45</v>
      </c>
      <c r="H94" s="35">
        <v>46</v>
      </c>
      <c r="I94" s="35">
        <v>63</v>
      </c>
      <c r="J94" s="35">
        <v>32</v>
      </c>
      <c r="K94" s="35">
        <v>54</v>
      </c>
      <c r="L94" s="35">
        <v>60</v>
      </c>
      <c r="M94" s="35">
        <v>43</v>
      </c>
      <c r="N94" s="35">
        <v>56</v>
      </c>
      <c r="O94" s="35">
        <v>66</v>
      </c>
      <c r="P94" s="35">
        <v>65</v>
      </c>
      <c r="Q94" s="35">
        <v>51</v>
      </c>
      <c r="R94" s="35">
        <v>50</v>
      </c>
      <c r="S94" s="35">
        <v>34</v>
      </c>
      <c r="T94" s="35">
        <v>47</v>
      </c>
      <c r="U94" s="35">
        <v>40</v>
      </c>
      <c r="V94" s="35">
        <v>51</v>
      </c>
      <c r="W94" s="35">
        <v>43</v>
      </c>
      <c r="X94" s="35">
        <v>80</v>
      </c>
      <c r="Y94" s="35">
        <v>3</v>
      </c>
      <c r="Z94" s="35">
        <v>96</v>
      </c>
      <c r="AA94" s="35">
        <v>112</v>
      </c>
      <c r="AB94" s="35">
        <v>42</v>
      </c>
      <c r="AC94" s="35">
        <v>66</v>
      </c>
      <c r="AD94"/>
    </row>
    <row r="95" spans="2:30" s="32" customFormat="1" ht="15" x14ac:dyDescent="0.2">
      <c r="B95" s="34"/>
      <c r="C95" s="34">
        <v>75</v>
      </c>
      <c r="D95" s="35">
        <v>9</v>
      </c>
      <c r="E95" s="35">
        <v>7</v>
      </c>
      <c r="F95" s="35">
        <v>14</v>
      </c>
      <c r="G95" s="35">
        <v>14</v>
      </c>
      <c r="H95" s="35">
        <v>6</v>
      </c>
      <c r="I95" s="35">
        <v>10</v>
      </c>
      <c r="J95" s="35">
        <v>9</v>
      </c>
      <c r="K95" s="35">
        <v>10</v>
      </c>
      <c r="L95" s="35">
        <v>20</v>
      </c>
      <c r="M95" s="35">
        <v>16</v>
      </c>
      <c r="N95" s="35">
        <v>19</v>
      </c>
      <c r="O95" s="35">
        <v>13</v>
      </c>
      <c r="P95" s="35">
        <v>21</v>
      </c>
      <c r="Q95" s="35">
        <v>9</v>
      </c>
      <c r="R95" s="35">
        <v>15</v>
      </c>
      <c r="S95" s="35">
        <v>12</v>
      </c>
      <c r="T95" s="35">
        <v>5</v>
      </c>
      <c r="U95" s="35">
        <v>1</v>
      </c>
      <c r="V95" s="35">
        <v>0</v>
      </c>
      <c r="W95" s="35">
        <v>2</v>
      </c>
      <c r="X95" s="35">
        <v>4</v>
      </c>
      <c r="Y95" s="35">
        <v>0</v>
      </c>
      <c r="Z95" s="35">
        <v>0</v>
      </c>
      <c r="AA95" s="35">
        <v>1</v>
      </c>
      <c r="AB95" s="35">
        <v>1</v>
      </c>
      <c r="AC95" s="35">
        <v>0</v>
      </c>
      <c r="AD95"/>
    </row>
    <row r="96" spans="2:30" s="32" customFormat="1" ht="15" x14ac:dyDescent="0.2">
      <c r="B96" s="34"/>
      <c r="C96" s="34">
        <v>82</v>
      </c>
      <c r="D96" s="35">
        <v>8</v>
      </c>
      <c r="E96" s="35">
        <v>9</v>
      </c>
      <c r="F96" s="35">
        <v>9</v>
      </c>
      <c r="G96" s="35">
        <v>6</v>
      </c>
      <c r="H96" s="35">
        <v>4</v>
      </c>
      <c r="I96" s="35">
        <v>17</v>
      </c>
      <c r="J96" s="35">
        <v>23</v>
      </c>
      <c r="K96" s="35">
        <v>22</v>
      </c>
      <c r="L96" s="35">
        <v>17</v>
      </c>
      <c r="M96" s="35">
        <v>12</v>
      </c>
      <c r="N96" s="35">
        <v>10</v>
      </c>
      <c r="O96" s="35">
        <v>11</v>
      </c>
      <c r="P96" s="35">
        <v>5</v>
      </c>
      <c r="Q96" s="35">
        <v>12</v>
      </c>
      <c r="R96" s="35">
        <v>13</v>
      </c>
      <c r="S96" s="35">
        <v>9</v>
      </c>
      <c r="T96" s="35">
        <v>9</v>
      </c>
      <c r="U96" s="35">
        <v>9</v>
      </c>
      <c r="V96" s="35">
        <v>11</v>
      </c>
      <c r="W96" s="35">
        <v>6</v>
      </c>
      <c r="X96" s="35">
        <v>8</v>
      </c>
      <c r="Y96" s="35">
        <v>11</v>
      </c>
      <c r="Z96" s="35">
        <v>14</v>
      </c>
      <c r="AA96" s="35">
        <v>19</v>
      </c>
      <c r="AB96" s="35">
        <v>14</v>
      </c>
      <c r="AC96" s="35">
        <v>4</v>
      </c>
      <c r="AD96"/>
    </row>
    <row r="97" spans="2:30" s="32" customFormat="1" ht="15" x14ac:dyDescent="0.2">
      <c r="B97" s="34"/>
      <c r="C97" s="34">
        <v>85</v>
      </c>
      <c r="D97" s="35">
        <v>1</v>
      </c>
      <c r="E97" s="35">
        <v>1</v>
      </c>
      <c r="F97" s="35">
        <v>1</v>
      </c>
      <c r="G97" s="35">
        <v>1</v>
      </c>
      <c r="H97" s="35">
        <v>0.2</v>
      </c>
      <c r="I97" s="35">
        <v>0.4</v>
      </c>
      <c r="J97" s="35">
        <v>0.3</v>
      </c>
      <c r="K97" s="35">
        <v>0.4</v>
      </c>
      <c r="L97" s="35">
        <v>1</v>
      </c>
      <c r="M97" s="35">
        <v>1</v>
      </c>
      <c r="N97" s="35">
        <v>1</v>
      </c>
      <c r="O97" s="35">
        <v>2</v>
      </c>
      <c r="P97" s="35">
        <v>4</v>
      </c>
      <c r="Q97" s="35">
        <v>6</v>
      </c>
      <c r="R97" s="35">
        <v>12</v>
      </c>
      <c r="S97" s="35">
        <v>11</v>
      </c>
      <c r="T97" s="35">
        <v>28</v>
      </c>
      <c r="U97" s="35">
        <v>17</v>
      </c>
      <c r="V97" s="35">
        <v>18</v>
      </c>
      <c r="W97" s="35">
        <v>21</v>
      </c>
      <c r="X97" s="35">
        <v>20</v>
      </c>
      <c r="Y97" s="35">
        <v>35</v>
      </c>
      <c r="Z97" s="35">
        <v>36</v>
      </c>
      <c r="AA97" s="35">
        <v>16</v>
      </c>
      <c r="AB97" s="35">
        <v>14</v>
      </c>
      <c r="AC97" s="35">
        <v>26</v>
      </c>
      <c r="AD97"/>
    </row>
    <row r="98" spans="2:30" s="32" customFormat="1" ht="15" x14ac:dyDescent="0.2">
      <c r="B98" s="34"/>
      <c r="C98" s="34">
        <v>100</v>
      </c>
      <c r="D98" s="35">
        <v>1</v>
      </c>
      <c r="E98" s="35">
        <v>0</v>
      </c>
      <c r="F98" s="35">
        <v>0</v>
      </c>
      <c r="G98" s="35">
        <v>0.1</v>
      </c>
      <c r="H98" s="35">
        <v>0.4</v>
      </c>
      <c r="I98" s="35">
        <v>0.2</v>
      </c>
      <c r="J98" s="35">
        <v>0.4</v>
      </c>
      <c r="K98" s="35">
        <v>0.5</v>
      </c>
      <c r="L98" s="35">
        <v>1</v>
      </c>
      <c r="M98" s="35"/>
      <c r="N98" s="35">
        <v>1</v>
      </c>
      <c r="O98" s="35">
        <v>0.1</v>
      </c>
      <c r="P98" s="35"/>
      <c r="Q98" s="35"/>
      <c r="R98" s="35">
        <v>0.5</v>
      </c>
      <c r="S98" s="35">
        <v>2</v>
      </c>
      <c r="T98" s="35">
        <v>1</v>
      </c>
      <c r="U98" s="35">
        <v>1</v>
      </c>
      <c r="V98" s="35">
        <v>1</v>
      </c>
      <c r="W98" s="35">
        <v>2</v>
      </c>
      <c r="X98" s="35">
        <v>1</v>
      </c>
      <c r="Y98" s="35">
        <v>1</v>
      </c>
      <c r="Z98" s="35">
        <v>1</v>
      </c>
      <c r="AA98" s="35"/>
      <c r="AB98" s="35">
        <v>1</v>
      </c>
      <c r="AC98" s="35">
        <v>1</v>
      </c>
      <c r="AD98"/>
    </row>
    <row r="99" spans="2:30" s="32" customFormat="1" ht="15" x14ac:dyDescent="0.2">
      <c r="B99" s="34"/>
      <c r="C99" s="34">
        <v>26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>
        <v>0</v>
      </c>
      <c r="W99" s="35"/>
      <c r="X99" s="35"/>
      <c r="Y99" s="35"/>
      <c r="Z99" s="35"/>
      <c r="AA99" s="35"/>
      <c r="AB99" s="35"/>
      <c r="AC99" s="35"/>
      <c r="AD99"/>
    </row>
    <row r="100" spans="2:30" s="32" customFormat="1" ht="15" x14ac:dyDescent="0.2">
      <c r="B100" s="34"/>
      <c r="C100" s="34">
        <v>46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>
        <v>0</v>
      </c>
      <c r="W100" s="35"/>
      <c r="X100" s="35"/>
      <c r="Y100" s="35"/>
      <c r="Z100" s="35"/>
      <c r="AA100" s="35"/>
      <c r="AB100" s="35"/>
      <c r="AC100" s="35"/>
      <c r="AD100"/>
    </row>
    <row r="101" spans="2:30" s="32" customFormat="1" ht="15" x14ac:dyDescent="0.2">
      <c r="B101" s="34"/>
      <c r="C101" s="34">
        <v>29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>
        <v>0</v>
      </c>
      <c r="W101" s="35"/>
      <c r="X101" s="35"/>
      <c r="Y101" s="35"/>
      <c r="Z101" s="35"/>
      <c r="AA101" s="35"/>
      <c r="AB101" s="35"/>
      <c r="AC101" s="35"/>
      <c r="AD101"/>
    </row>
    <row r="102" spans="2:30" s="32" customFormat="1" ht="15" x14ac:dyDescent="0.2">
      <c r="B102" s="34" t="s">
        <v>90</v>
      </c>
      <c r="C102" s="34"/>
      <c r="D102" s="42">
        <v>2966</v>
      </c>
      <c r="E102" s="42">
        <v>2378</v>
      </c>
      <c r="F102" s="42">
        <v>3866</v>
      </c>
      <c r="G102" s="42">
        <v>3522.1</v>
      </c>
      <c r="H102" s="42">
        <v>3868.6</v>
      </c>
      <c r="I102" s="42">
        <v>3620.6</v>
      </c>
      <c r="J102" s="42">
        <v>3671.7000000000003</v>
      </c>
      <c r="K102" s="42">
        <v>3663.9</v>
      </c>
      <c r="L102" s="42">
        <v>3632</v>
      </c>
      <c r="M102" s="42">
        <v>3357</v>
      </c>
      <c r="N102" s="42">
        <v>3340</v>
      </c>
      <c r="O102" s="42">
        <v>3912.1</v>
      </c>
      <c r="P102" s="42">
        <v>3404</v>
      </c>
      <c r="Q102" s="42">
        <v>3028</v>
      </c>
      <c r="R102" s="42">
        <v>3409.5</v>
      </c>
      <c r="S102" s="42">
        <v>2761</v>
      </c>
      <c r="T102" s="42">
        <v>2498</v>
      </c>
      <c r="U102" s="42">
        <v>2770</v>
      </c>
      <c r="V102" s="42">
        <v>2714</v>
      </c>
      <c r="W102" s="42">
        <v>2695</v>
      </c>
      <c r="X102" s="42">
        <v>2471</v>
      </c>
      <c r="Y102" s="42">
        <v>2499</v>
      </c>
      <c r="Z102" s="42">
        <v>2748</v>
      </c>
      <c r="AA102" s="42">
        <v>2886</v>
      </c>
      <c r="AB102" s="42">
        <v>2286</v>
      </c>
      <c r="AC102" s="42">
        <v>2291</v>
      </c>
      <c r="AD102"/>
    </row>
    <row r="103" spans="2:30" s="32" customFormat="1" ht="15" x14ac:dyDescent="0.2">
      <c r="B103" s="34" t="s">
        <v>5</v>
      </c>
      <c r="C103" s="34">
        <v>32</v>
      </c>
      <c r="D103" s="35">
        <v>355</v>
      </c>
      <c r="E103" s="35">
        <v>400</v>
      </c>
      <c r="F103" s="35">
        <v>450</v>
      </c>
      <c r="G103" s="35">
        <v>255</v>
      </c>
      <c r="H103" s="35">
        <v>129</v>
      </c>
      <c r="I103" s="35">
        <v>416</v>
      </c>
      <c r="J103" s="35">
        <v>374</v>
      </c>
      <c r="K103" s="35">
        <v>300</v>
      </c>
      <c r="L103" s="35">
        <v>310</v>
      </c>
      <c r="M103" s="35">
        <v>310</v>
      </c>
      <c r="N103" s="35">
        <v>285</v>
      </c>
      <c r="O103" s="35">
        <v>300</v>
      </c>
      <c r="P103" s="35">
        <v>275</v>
      </c>
      <c r="Q103" s="35">
        <v>300</v>
      </c>
      <c r="R103" s="35">
        <v>350</v>
      </c>
      <c r="S103" s="35">
        <v>422</v>
      </c>
      <c r="T103" s="35">
        <v>412</v>
      </c>
      <c r="U103" s="35">
        <v>375</v>
      </c>
      <c r="V103" s="35">
        <v>341</v>
      </c>
      <c r="W103" s="35">
        <v>390</v>
      </c>
      <c r="X103" s="35">
        <v>290</v>
      </c>
      <c r="Y103" s="35">
        <v>363</v>
      </c>
      <c r="Z103" s="35">
        <v>385</v>
      </c>
      <c r="AA103" s="35">
        <v>480</v>
      </c>
      <c r="AB103" s="35">
        <v>270</v>
      </c>
      <c r="AC103" s="35">
        <v>279</v>
      </c>
      <c r="AD103"/>
    </row>
    <row r="104" spans="2:30" s="32" customFormat="1" ht="15" x14ac:dyDescent="0.2">
      <c r="B104" s="34"/>
      <c r="C104" s="34">
        <v>42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>
        <v>0</v>
      </c>
      <c r="W104" s="35"/>
      <c r="X104" s="35"/>
      <c r="Y104" s="35"/>
      <c r="Z104" s="35"/>
      <c r="AA104" s="35"/>
      <c r="AB104" s="35"/>
      <c r="AC104" s="35"/>
      <c r="AD104"/>
    </row>
    <row r="105" spans="2:30" s="32" customFormat="1" ht="15" x14ac:dyDescent="0.2">
      <c r="B105" s="34"/>
      <c r="C105" s="34">
        <v>43</v>
      </c>
      <c r="D105" s="35">
        <v>640</v>
      </c>
      <c r="E105" s="35">
        <v>580</v>
      </c>
      <c r="F105" s="35">
        <v>770</v>
      </c>
      <c r="G105" s="35">
        <v>480</v>
      </c>
      <c r="H105" s="35">
        <v>390</v>
      </c>
      <c r="I105" s="35">
        <v>525</v>
      </c>
      <c r="J105" s="35">
        <v>290</v>
      </c>
      <c r="K105" s="35">
        <v>395</v>
      </c>
      <c r="L105" s="35">
        <v>365</v>
      </c>
      <c r="M105" s="35">
        <v>395</v>
      </c>
      <c r="N105" s="35">
        <v>323</v>
      </c>
      <c r="O105" s="35">
        <v>350</v>
      </c>
      <c r="P105" s="35">
        <v>448</v>
      </c>
      <c r="Q105" s="35">
        <v>385</v>
      </c>
      <c r="R105" s="35">
        <v>441</v>
      </c>
      <c r="S105" s="35">
        <v>424</v>
      </c>
      <c r="T105" s="35">
        <v>489</v>
      </c>
      <c r="U105" s="35">
        <v>318</v>
      </c>
      <c r="V105" s="35">
        <v>238</v>
      </c>
      <c r="W105" s="35">
        <v>280</v>
      </c>
      <c r="X105" s="35">
        <v>271</v>
      </c>
      <c r="Y105" s="35">
        <v>297</v>
      </c>
      <c r="Z105" s="35">
        <v>361</v>
      </c>
      <c r="AA105" s="35">
        <v>352</v>
      </c>
      <c r="AB105" s="35">
        <v>308</v>
      </c>
      <c r="AC105" s="35">
        <v>292</v>
      </c>
      <c r="AD105"/>
    </row>
    <row r="106" spans="2:30" s="32" customFormat="1" ht="15" x14ac:dyDescent="0.2">
      <c r="B106" s="34"/>
      <c r="C106" s="34">
        <v>49</v>
      </c>
      <c r="D106" s="35">
        <v>340</v>
      </c>
      <c r="E106" s="35">
        <v>320</v>
      </c>
      <c r="F106" s="35">
        <v>380</v>
      </c>
      <c r="G106" s="35">
        <v>240</v>
      </c>
      <c r="H106" s="35">
        <v>225</v>
      </c>
      <c r="I106" s="35">
        <v>270</v>
      </c>
      <c r="J106" s="35">
        <v>315</v>
      </c>
      <c r="K106" s="35">
        <v>322</v>
      </c>
      <c r="L106" s="35">
        <v>280</v>
      </c>
      <c r="M106" s="35">
        <v>301</v>
      </c>
      <c r="N106" s="35">
        <v>330</v>
      </c>
      <c r="O106" s="35">
        <v>300</v>
      </c>
      <c r="P106" s="35">
        <v>248</v>
      </c>
      <c r="Q106" s="35">
        <v>230</v>
      </c>
      <c r="R106" s="35">
        <v>259</v>
      </c>
      <c r="S106" s="35">
        <v>91</v>
      </c>
      <c r="T106" s="35">
        <v>146</v>
      </c>
      <c r="U106" s="35">
        <v>74</v>
      </c>
      <c r="V106" s="35">
        <v>62</v>
      </c>
      <c r="W106" s="35">
        <v>45</v>
      </c>
      <c r="X106" s="35">
        <v>30</v>
      </c>
      <c r="Y106" s="35">
        <v>48</v>
      </c>
      <c r="Z106" s="35">
        <v>41</v>
      </c>
      <c r="AA106" s="35">
        <v>56</v>
      </c>
      <c r="AB106" s="35">
        <v>56</v>
      </c>
      <c r="AC106" s="35">
        <v>51</v>
      </c>
      <c r="AD106"/>
    </row>
    <row r="107" spans="2:30" s="32" customFormat="1" ht="15" x14ac:dyDescent="0.2">
      <c r="B107" s="34"/>
      <c r="C107" s="34">
        <v>50</v>
      </c>
      <c r="D107" s="35">
        <v>5</v>
      </c>
      <c r="E107" s="35">
        <v>0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>
        <v>2</v>
      </c>
      <c r="T107" s="35">
        <v>160</v>
      </c>
      <c r="U107" s="35">
        <v>175</v>
      </c>
      <c r="V107" s="35">
        <v>162</v>
      </c>
      <c r="W107" s="35">
        <v>160</v>
      </c>
      <c r="X107" s="35">
        <v>218</v>
      </c>
      <c r="Y107" s="35">
        <v>188</v>
      </c>
      <c r="Z107" s="35">
        <v>189</v>
      </c>
      <c r="AA107" s="35">
        <v>149</v>
      </c>
      <c r="AB107" s="35">
        <v>120</v>
      </c>
      <c r="AC107" s="35">
        <v>163</v>
      </c>
      <c r="AD107"/>
    </row>
    <row r="108" spans="2:30" s="32" customFormat="1" ht="15" x14ac:dyDescent="0.2">
      <c r="B108" s="34"/>
      <c r="C108" s="34">
        <v>55</v>
      </c>
      <c r="D108" s="35">
        <v>480</v>
      </c>
      <c r="E108" s="35">
        <v>450</v>
      </c>
      <c r="F108" s="35">
        <v>610</v>
      </c>
      <c r="G108" s="35">
        <v>440</v>
      </c>
      <c r="H108" s="35">
        <v>340</v>
      </c>
      <c r="I108" s="35">
        <v>610</v>
      </c>
      <c r="J108" s="35">
        <v>540</v>
      </c>
      <c r="K108" s="35">
        <v>674</v>
      </c>
      <c r="L108" s="35">
        <v>645</v>
      </c>
      <c r="M108" s="35">
        <v>640</v>
      </c>
      <c r="N108" s="35">
        <v>595</v>
      </c>
      <c r="O108" s="35">
        <v>600</v>
      </c>
      <c r="P108" s="35">
        <v>525</v>
      </c>
      <c r="Q108" s="35">
        <v>640</v>
      </c>
      <c r="R108" s="35">
        <v>729</v>
      </c>
      <c r="S108" s="35">
        <v>760</v>
      </c>
      <c r="T108" s="35">
        <v>727</v>
      </c>
      <c r="U108" s="35">
        <v>700</v>
      </c>
      <c r="V108" s="35">
        <v>584</v>
      </c>
      <c r="W108" s="35">
        <v>560</v>
      </c>
      <c r="X108" s="35">
        <v>620</v>
      </c>
      <c r="Y108" s="35">
        <v>636</v>
      </c>
      <c r="Z108" s="35">
        <v>605</v>
      </c>
      <c r="AA108" s="35">
        <v>439</v>
      </c>
      <c r="AB108" s="35">
        <v>617</v>
      </c>
      <c r="AC108" s="35">
        <v>542</v>
      </c>
      <c r="AD108"/>
    </row>
    <row r="109" spans="2:30" s="32" customFormat="1" ht="15" x14ac:dyDescent="0.2">
      <c r="B109" s="34"/>
      <c r="C109" s="34">
        <v>60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>
        <v>0</v>
      </c>
      <c r="W109" s="35"/>
      <c r="X109" s="35"/>
      <c r="Y109" s="35"/>
      <c r="Z109" s="35"/>
      <c r="AA109" s="35"/>
      <c r="AB109" s="35"/>
      <c r="AC109" s="35"/>
      <c r="AD109"/>
    </row>
    <row r="110" spans="2:30" s="32" customFormat="1" ht="15" x14ac:dyDescent="0.2">
      <c r="B110" s="34"/>
      <c r="C110" s="34">
        <v>65</v>
      </c>
      <c r="D110" s="35">
        <v>170</v>
      </c>
      <c r="E110" s="35">
        <v>210</v>
      </c>
      <c r="F110" s="35">
        <v>200</v>
      </c>
      <c r="G110" s="35">
        <v>140</v>
      </c>
      <c r="H110" s="35">
        <v>95</v>
      </c>
      <c r="I110" s="35">
        <v>200</v>
      </c>
      <c r="J110" s="35">
        <v>160</v>
      </c>
      <c r="K110" s="35">
        <v>145</v>
      </c>
      <c r="L110" s="35">
        <v>155</v>
      </c>
      <c r="M110" s="35">
        <v>140</v>
      </c>
      <c r="N110" s="35">
        <v>107</v>
      </c>
      <c r="O110" s="35">
        <v>110</v>
      </c>
      <c r="P110" s="35">
        <v>130</v>
      </c>
      <c r="Q110" s="35">
        <v>130</v>
      </c>
      <c r="R110" s="35">
        <v>151</v>
      </c>
      <c r="S110" s="35">
        <v>201</v>
      </c>
      <c r="T110" s="35">
        <v>142</v>
      </c>
      <c r="U110" s="35">
        <v>200</v>
      </c>
      <c r="V110" s="35">
        <v>166</v>
      </c>
      <c r="W110" s="35">
        <v>150</v>
      </c>
      <c r="X110" s="35">
        <v>143</v>
      </c>
      <c r="Y110" s="35">
        <v>198</v>
      </c>
      <c r="Z110" s="35">
        <v>141</v>
      </c>
      <c r="AA110" s="35">
        <v>145</v>
      </c>
      <c r="AB110" s="35">
        <v>177</v>
      </c>
      <c r="AC110" s="35">
        <v>169</v>
      </c>
      <c r="AD110"/>
    </row>
    <row r="111" spans="2:30" s="32" customFormat="1" ht="15" x14ac:dyDescent="0.2">
      <c r="B111" s="34"/>
      <c r="C111" s="34">
        <v>75</v>
      </c>
      <c r="D111" s="35">
        <v>40</v>
      </c>
      <c r="E111" s="35">
        <v>56</v>
      </c>
      <c r="F111" s="35">
        <v>70</v>
      </c>
      <c r="G111" s="35">
        <v>50</v>
      </c>
      <c r="H111" s="35">
        <v>40</v>
      </c>
      <c r="I111" s="35">
        <v>55</v>
      </c>
      <c r="J111" s="35">
        <v>57</v>
      </c>
      <c r="K111" s="35">
        <v>50</v>
      </c>
      <c r="L111" s="35">
        <v>45</v>
      </c>
      <c r="M111" s="35">
        <v>27</v>
      </c>
      <c r="N111" s="35">
        <v>23</v>
      </c>
      <c r="O111" s="35">
        <v>25</v>
      </c>
      <c r="P111" s="35">
        <v>32</v>
      </c>
      <c r="Q111" s="35">
        <v>13</v>
      </c>
      <c r="R111" s="35">
        <v>10</v>
      </c>
      <c r="S111" s="35">
        <v>25</v>
      </c>
      <c r="T111" s="35">
        <v>17</v>
      </c>
      <c r="U111" s="35">
        <v>14</v>
      </c>
      <c r="V111" s="35">
        <v>25</v>
      </c>
      <c r="W111" s="35">
        <v>20</v>
      </c>
      <c r="X111" s="35">
        <v>33</v>
      </c>
      <c r="Y111" s="35">
        <v>24</v>
      </c>
      <c r="Z111" s="35">
        <v>25</v>
      </c>
      <c r="AA111" s="35">
        <v>29</v>
      </c>
      <c r="AB111" s="35">
        <v>17</v>
      </c>
      <c r="AC111" s="35">
        <v>18</v>
      </c>
      <c r="AD111"/>
    </row>
    <row r="112" spans="2:30" s="32" customFormat="1" ht="15" x14ac:dyDescent="0.2">
      <c r="B112" s="34"/>
      <c r="C112" s="34">
        <v>82</v>
      </c>
      <c r="D112" s="35">
        <v>1</v>
      </c>
      <c r="E112" s="35">
        <v>2</v>
      </c>
      <c r="F112" s="35">
        <v>1</v>
      </c>
      <c r="G112" s="35">
        <v>1</v>
      </c>
      <c r="H112" s="35"/>
      <c r="I112" s="35"/>
      <c r="J112" s="35"/>
      <c r="K112" s="35"/>
      <c r="L112" s="35"/>
      <c r="M112" s="35">
        <v>3</v>
      </c>
      <c r="N112" s="35">
        <v>3</v>
      </c>
      <c r="O112" s="35">
        <v>2</v>
      </c>
      <c r="P112" s="35">
        <v>3</v>
      </c>
      <c r="Q112" s="35">
        <v>3</v>
      </c>
      <c r="R112" s="35">
        <v>4</v>
      </c>
      <c r="S112" s="35">
        <v>0</v>
      </c>
      <c r="T112" s="35">
        <v>1</v>
      </c>
      <c r="U112" s="35">
        <v>1</v>
      </c>
      <c r="V112" s="35">
        <v>0.2</v>
      </c>
      <c r="W112" s="35"/>
      <c r="X112" s="35"/>
      <c r="Y112" s="35"/>
      <c r="Z112" s="35"/>
      <c r="AA112" s="35"/>
      <c r="AB112" s="35"/>
      <c r="AC112" s="35"/>
      <c r="AD112"/>
    </row>
    <row r="113" spans="2:30" s="32" customFormat="1" ht="15" x14ac:dyDescent="0.2">
      <c r="B113" s="34"/>
      <c r="C113" s="34">
        <v>86</v>
      </c>
      <c r="D113" s="35">
        <v>25</v>
      </c>
      <c r="E113" s="35">
        <v>35</v>
      </c>
      <c r="F113" s="35">
        <v>33</v>
      </c>
      <c r="G113" s="35">
        <v>28</v>
      </c>
      <c r="H113" s="35">
        <v>36</v>
      </c>
      <c r="I113" s="35">
        <v>45</v>
      </c>
      <c r="J113" s="35">
        <v>65</v>
      </c>
      <c r="K113" s="35">
        <v>89</v>
      </c>
      <c r="L113" s="35">
        <v>95</v>
      </c>
      <c r="M113" s="35">
        <v>72</v>
      </c>
      <c r="N113" s="35">
        <v>76</v>
      </c>
      <c r="O113" s="35">
        <v>70</v>
      </c>
      <c r="P113" s="35">
        <v>87</v>
      </c>
      <c r="Q113" s="35">
        <v>53</v>
      </c>
      <c r="R113" s="35">
        <v>60</v>
      </c>
      <c r="S113" s="35">
        <v>88</v>
      </c>
      <c r="T113" s="35">
        <v>99</v>
      </c>
      <c r="U113" s="35">
        <v>120</v>
      </c>
      <c r="V113" s="35">
        <v>101</v>
      </c>
      <c r="W113" s="35">
        <v>100</v>
      </c>
      <c r="X113" s="35">
        <v>105</v>
      </c>
      <c r="Y113" s="35">
        <v>120</v>
      </c>
      <c r="Z113" s="35">
        <v>123</v>
      </c>
      <c r="AA113" s="35">
        <v>89</v>
      </c>
      <c r="AB113" s="35">
        <v>88</v>
      </c>
      <c r="AC113" s="35">
        <v>84</v>
      </c>
      <c r="AD113"/>
    </row>
    <row r="114" spans="2:30" s="32" customFormat="1" ht="15" x14ac:dyDescent="0.2">
      <c r="B114" s="34"/>
      <c r="C114" s="34">
        <v>98</v>
      </c>
      <c r="D114" s="35">
        <v>2</v>
      </c>
      <c r="E114" s="35">
        <v>2</v>
      </c>
      <c r="F114" s="35">
        <v>3</v>
      </c>
      <c r="G114" s="35">
        <v>2</v>
      </c>
      <c r="H114" s="35">
        <v>1</v>
      </c>
      <c r="I114" s="35">
        <v>1</v>
      </c>
      <c r="J114" s="35">
        <v>2</v>
      </c>
      <c r="K114" s="35">
        <v>1</v>
      </c>
      <c r="L114" s="35">
        <v>2</v>
      </c>
      <c r="M114" s="35">
        <v>3</v>
      </c>
      <c r="N114" s="35">
        <v>3</v>
      </c>
      <c r="O114" s="35">
        <v>3</v>
      </c>
      <c r="P114" s="35">
        <v>2</v>
      </c>
      <c r="Q114" s="35">
        <v>1</v>
      </c>
      <c r="R114" s="35">
        <v>2</v>
      </c>
      <c r="S114" s="35">
        <v>4</v>
      </c>
      <c r="T114" s="35">
        <v>3</v>
      </c>
      <c r="U114" s="35">
        <v>5</v>
      </c>
      <c r="V114" s="35">
        <v>3</v>
      </c>
      <c r="W114" s="35">
        <v>4</v>
      </c>
      <c r="X114" s="35">
        <v>1</v>
      </c>
      <c r="Y114" s="35">
        <v>1.9999999999999998</v>
      </c>
      <c r="Z114" s="35">
        <v>3</v>
      </c>
      <c r="AA114" s="35">
        <v>2</v>
      </c>
      <c r="AB114" s="35">
        <v>3</v>
      </c>
      <c r="AC114" s="35">
        <v>2</v>
      </c>
      <c r="AD114"/>
    </row>
    <row r="115" spans="2:30" s="32" customFormat="1" ht="15" x14ac:dyDescent="0.2">
      <c r="B115" s="34"/>
      <c r="C115" s="34">
        <v>26</v>
      </c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>
        <v>0</v>
      </c>
      <c r="W115" s="35"/>
      <c r="X115" s="35"/>
      <c r="Y115" s="35"/>
      <c r="Z115" s="35"/>
      <c r="AA115" s="35"/>
      <c r="AB115" s="35"/>
      <c r="AC115" s="35"/>
      <c r="AD115"/>
    </row>
    <row r="116" spans="2:30" s="32" customFormat="1" ht="15" x14ac:dyDescent="0.2">
      <c r="B116" s="34"/>
      <c r="C116" s="34">
        <v>37</v>
      </c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>
        <v>0</v>
      </c>
      <c r="W116" s="35"/>
      <c r="X116" s="35"/>
      <c r="Y116" s="35"/>
      <c r="Z116" s="35"/>
      <c r="AA116" s="35"/>
      <c r="AB116" s="35"/>
      <c r="AC116" s="35"/>
      <c r="AD116"/>
    </row>
    <row r="117" spans="2:30" s="32" customFormat="1" ht="15" x14ac:dyDescent="0.2">
      <c r="B117" s="34"/>
      <c r="C117" s="34">
        <v>47</v>
      </c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>
        <v>0</v>
      </c>
      <c r="W117" s="35"/>
      <c r="X117" s="35"/>
      <c r="Y117" s="35"/>
      <c r="Z117" s="35"/>
      <c r="AA117" s="35"/>
      <c r="AB117" s="35"/>
      <c r="AC117" s="35"/>
      <c r="AD117"/>
    </row>
    <row r="118" spans="2:30" s="32" customFormat="1" ht="15" x14ac:dyDescent="0.2">
      <c r="B118" s="34"/>
      <c r="C118" s="34">
        <v>79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>
        <v>0</v>
      </c>
      <c r="W118" s="35"/>
      <c r="X118" s="35"/>
      <c r="Y118" s="35"/>
      <c r="Z118" s="35"/>
      <c r="AA118" s="35"/>
      <c r="AB118" s="35"/>
      <c r="AC118" s="35"/>
      <c r="AD118"/>
    </row>
    <row r="119" spans="2:30" s="32" customFormat="1" ht="15" x14ac:dyDescent="0.2">
      <c r="B119" s="34"/>
      <c r="C119" s="34">
        <v>84</v>
      </c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>
        <v>0</v>
      </c>
      <c r="W119" s="35"/>
      <c r="X119" s="35"/>
      <c r="Y119" s="35"/>
      <c r="Z119" s="35"/>
      <c r="AA119" s="35"/>
      <c r="AB119" s="35"/>
      <c r="AC119" s="35"/>
      <c r="AD119"/>
    </row>
    <row r="120" spans="2:30" s="32" customFormat="1" ht="15" x14ac:dyDescent="0.2">
      <c r="B120" s="34" t="s">
        <v>91</v>
      </c>
      <c r="C120" s="34"/>
      <c r="D120" s="42">
        <v>2058</v>
      </c>
      <c r="E120" s="42">
        <v>2055</v>
      </c>
      <c r="F120" s="42">
        <v>2517</v>
      </c>
      <c r="G120" s="42">
        <v>1636</v>
      </c>
      <c r="H120" s="42">
        <v>1256</v>
      </c>
      <c r="I120" s="42">
        <v>2122</v>
      </c>
      <c r="J120" s="42">
        <v>1803</v>
      </c>
      <c r="K120" s="42">
        <v>1976</v>
      </c>
      <c r="L120" s="42">
        <v>1897</v>
      </c>
      <c r="M120" s="42">
        <v>1891</v>
      </c>
      <c r="N120" s="42">
        <v>1745</v>
      </c>
      <c r="O120" s="42">
        <v>1760</v>
      </c>
      <c r="P120" s="42">
        <v>1750</v>
      </c>
      <c r="Q120" s="42">
        <v>1755</v>
      </c>
      <c r="R120" s="42">
        <v>2006</v>
      </c>
      <c r="S120" s="42">
        <v>2017</v>
      </c>
      <c r="T120" s="42">
        <v>2196</v>
      </c>
      <c r="U120" s="42">
        <v>1982</v>
      </c>
      <c r="V120" s="42">
        <v>1682.2</v>
      </c>
      <c r="W120" s="42">
        <v>1709</v>
      </c>
      <c r="X120" s="42">
        <v>1711</v>
      </c>
      <c r="Y120" s="42">
        <v>1876</v>
      </c>
      <c r="Z120" s="42">
        <v>1873</v>
      </c>
      <c r="AA120" s="42">
        <v>1741</v>
      </c>
      <c r="AB120" s="42">
        <v>1656</v>
      </c>
      <c r="AC120" s="42">
        <v>1600</v>
      </c>
      <c r="AD120"/>
    </row>
    <row r="121" spans="2:30" s="32" customFormat="1" ht="15" x14ac:dyDescent="0.2">
      <c r="B121" s="34" t="s">
        <v>6</v>
      </c>
      <c r="C121" s="34">
        <v>32</v>
      </c>
      <c r="D121" s="35">
        <v>780</v>
      </c>
      <c r="E121" s="35">
        <v>700</v>
      </c>
      <c r="F121" s="35">
        <v>910</v>
      </c>
      <c r="G121" s="35">
        <v>395</v>
      </c>
      <c r="H121" s="35">
        <v>790</v>
      </c>
      <c r="I121" s="35">
        <v>1002</v>
      </c>
      <c r="J121" s="35">
        <v>990</v>
      </c>
      <c r="K121" s="35">
        <v>1085</v>
      </c>
      <c r="L121" s="35">
        <v>854</v>
      </c>
      <c r="M121" s="35">
        <v>760</v>
      </c>
      <c r="N121" s="35">
        <v>543</v>
      </c>
      <c r="O121" s="35">
        <v>1018</v>
      </c>
      <c r="P121" s="35">
        <v>10</v>
      </c>
      <c r="Q121" s="35"/>
      <c r="R121" s="35">
        <v>234</v>
      </c>
      <c r="S121" s="35">
        <v>360</v>
      </c>
      <c r="T121" s="35">
        <v>356</v>
      </c>
      <c r="U121" s="35">
        <v>282</v>
      </c>
      <c r="V121" s="35">
        <v>120</v>
      </c>
      <c r="W121" s="35">
        <v>247</v>
      </c>
      <c r="X121" s="35">
        <v>245</v>
      </c>
      <c r="Y121" s="35">
        <v>205</v>
      </c>
      <c r="Z121" s="35">
        <v>187</v>
      </c>
      <c r="AA121" s="35">
        <v>284</v>
      </c>
      <c r="AB121" s="35">
        <v>148</v>
      </c>
      <c r="AC121" s="35">
        <v>164</v>
      </c>
      <c r="AD121"/>
    </row>
    <row r="122" spans="2:30" s="32" customFormat="1" ht="15" x14ac:dyDescent="0.15">
      <c r="B122" s="34"/>
      <c r="C122" s="34">
        <v>40</v>
      </c>
      <c r="D122" s="35">
        <v>145</v>
      </c>
      <c r="E122" s="35">
        <v>153</v>
      </c>
      <c r="F122" s="35">
        <v>190</v>
      </c>
      <c r="G122" s="35">
        <v>172</v>
      </c>
      <c r="H122" s="35">
        <v>85</v>
      </c>
      <c r="I122" s="35">
        <v>20</v>
      </c>
      <c r="J122" s="35">
        <v>61</v>
      </c>
      <c r="K122" s="35">
        <v>30</v>
      </c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>
        <v>0</v>
      </c>
      <c r="W122" s="35"/>
      <c r="X122" s="35"/>
      <c r="Y122" s="35"/>
      <c r="Z122" s="35"/>
      <c r="AA122" s="35"/>
      <c r="AB122" s="35"/>
      <c r="AC122" s="35"/>
      <c r="AD122" s="41"/>
    </row>
    <row r="123" spans="2:30" s="32" customFormat="1" ht="15" x14ac:dyDescent="0.15">
      <c r="B123" s="34"/>
      <c r="C123" s="34">
        <v>43</v>
      </c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>
        <v>0</v>
      </c>
      <c r="W123" s="35"/>
      <c r="X123" s="35"/>
      <c r="Y123" s="35"/>
      <c r="Z123" s="35"/>
      <c r="AA123" s="35"/>
      <c r="AB123" s="35"/>
      <c r="AC123" s="35"/>
      <c r="AD123" s="41"/>
    </row>
    <row r="124" spans="2:30" s="32" customFormat="1" ht="15" x14ac:dyDescent="0.15">
      <c r="B124" s="34"/>
      <c r="C124" s="34">
        <v>49</v>
      </c>
      <c r="D124" s="35">
        <v>140</v>
      </c>
      <c r="E124" s="35">
        <v>190</v>
      </c>
      <c r="F124" s="35">
        <v>200</v>
      </c>
      <c r="G124" s="35">
        <v>105</v>
      </c>
      <c r="H124" s="35">
        <v>110</v>
      </c>
      <c r="I124" s="35">
        <v>102</v>
      </c>
      <c r="J124" s="35">
        <v>142</v>
      </c>
      <c r="K124" s="35">
        <v>122</v>
      </c>
      <c r="L124" s="35">
        <v>81</v>
      </c>
      <c r="M124" s="35">
        <v>100</v>
      </c>
      <c r="N124" s="35">
        <v>65</v>
      </c>
      <c r="O124" s="35">
        <v>145</v>
      </c>
      <c r="P124" s="35"/>
      <c r="Q124" s="35"/>
      <c r="R124" s="35"/>
      <c r="S124" s="35"/>
      <c r="T124" s="35"/>
      <c r="U124" s="35"/>
      <c r="V124" s="35">
        <v>0</v>
      </c>
      <c r="W124" s="35"/>
      <c r="X124" s="35"/>
      <c r="Y124" s="35"/>
      <c r="Z124" s="35"/>
      <c r="AA124" s="35"/>
      <c r="AB124" s="35"/>
      <c r="AC124" s="35"/>
      <c r="AD124" s="41"/>
    </row>
    <row r="125" spans="2:30" s="32" customFormat="1" ht="15" x14ac:dyDescent="0.15">
      <c r="B125" s="34"/>
      <c r="C125" s="34">
        <v>55</v>
      </c>
      <c r="D125" s="35">
        <v>480</v>
      </c>
      <c r="E125" s="35">
        <v>523</v>
      </c>
      <c r="F125" s="35">
        <v>537</v>
      </c>
      <c r="G125" s="35">
        <v>320</v>
      </c>
      <c r="H125" s="35">
        <v>593</v>
      </c>
      <c r="I125" s="35">
        <v>730</v>
      </c>
      <c r="J125" s="35">
        <v>630</v>
      </c>
      <c r="K125" s="35">
        <v>675</v>
      </c>
      <c r="L125" s="35">
        <v>670</v>
      </c>
      <c r="M125" s="35">
        <v>587</v>
      </c>
      <c r="N125" s="35">
        <v>555</v>
      </c>
      <c r="O125" s="35">
        <v>670</v>
      </c>
      <c r="P125" s="35">
        <v>180</v>
      </c>
      <c r="Q125" s="35">
        <v>145</v>
      </c>
      <c r="R125" s="35">
        <v>100</v>
      </c>
      <c r="S125" s="35">
        <v>230</v>
      </c>
      <c r="T125" s="35">
        <v>148</v>
      </c>
      <c r="U125" s="35">
        <v>228</v>
      </c>
      <c r="V125" s="35">
        <v>234</v>
      </c>
      <c r="W125" s="35">
        <v>237</v>
      </c>
      <c r="X125" s="35">
        <v>403</v>
      </c>
      <c r="Y125" s="35">
        <v>386</v>
      </c>
      <c r="Z125" s="35">
        <v>131</v>
      </c>
      <c r="AA125" s="35">
        <v>187</v>
      </c>
      <c r="AB125" s="35">
        <v>388</v>
      </c>
      <c r="AC125" s="35">
        <v>290</v>
      </c>
      <c r="AD125" s="41"/>
    </row>
    <row r="126" spans="2:30" s="32" customFormat="1" ht="15" x14ac:dyDescent="0.15">
      <c r="B126" s="34"/>
      <c r="C126" s="34">
        <v>60</v>
      </c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>
        <v>0</v>
      </c>
      <c r="W126" s="35"/>
      <c r="X126" s="35"/>
      <c r="Y126" s="35"/>
      <c r="Z126" s="35"/>
      <c r="AA126" s="35"/>
      <c r="AB126" s="35"/>
      <c r="AC126" s="35"/>
      <c r="AD126" s="41"/>
    </row>
    <row r="127" spans="2:30" s="32" customFormat="1" ht="15" x14ac:dyDescent="0.15">
      <c r="B127" s="34"/>
      <c r="C127" s="34">
        <v>65</v>
      </c>
      <c r="D127" s="35">
        <v>395</v>
      </c>
      <c r="E127" s="35">
        <v>405</v>
      </c>
      <c r="F127" s="35">
        <v>415</v>
      </c>
      <c r="G127" s="35">
        <v>285</v>
      </c>
      <c r="H127" s="35">
        <v>485</v>
      </c>
      <c r="I127" s="35">
        <v>455</v>
      </c>
      <c r="J127" s="35">
        <v>505</v>
      </c>
      <c r="K127" s="35">
        <v>440</v>
      </c>
      <c r="L127" s="35">
        <v>520</v>
      </c>
      <c r="M127" s="35">
        <v>395</v>
      </c>
      <c r="N127" s="35">
        <v>392</v>
      </c>
      <c r="O127" s="35">
        <v>435</v>
      </c>
      <c r="P127" s="35">
        <v>73</v>
      </c>
      <c r="Q127" s="35">
        <v>135</v>
      </c>
      <c r="R127" s="35">
        <v>200</v>
      </c>
      <c r="S127" s="35">
        <v>125</v>
      </c>
      <c r="T127" s="35">
        <v>102</v>
      </c>
      <c r="U127" s="35">
        <v>141</v>
      </c>
      <c r="V127" s="35">
        <v>101</v>
      </c>
      <c r="W127" s="35">
        <v>96</v>
      </c>
      <c r="X127" s="35">
        <v>42</v>
      </c>
      <c r="Y127" s="35">
        <v>47</v>
      </c>
      <c r="Z127" s="35">
        <v>97</v>
      </c>
      <c r="AA127" s="35">
        <v>18</v>
      </c>
      <c r="AB127" s="35">
        <v>149</v>
      </c>
      <c r="AC127" s="35">
        <v>47</v>
      </c>
      <c r="AD127" s="41"/>
    </row>
    <row r="128" spans="2:30" s="32" customFormat="1" ht="15" x14ac:dyDescent="0.15">
      <c r="B128" s="34"/>
      <c r="C128" s="34">
        <v>75</v>
      </c>
      <c r="D128" s="35">
        <v>100</v>
      </c>
      <c r="E128" s="35">
        <v>95</v>
      </c>
      <c r="F128" s="35">
        <v>130</v>
      </c>
      <c r="G128" s="35">
        <v>80</v>
      </c>
      <c r="H128" s="35">
        <v>120</v>
      </c>
      <c r="I128" s="35">
        <v>150</v>
      </c>
      <c r="J128" s="35">
        <v>180</v>
      </c>
      <c r="K128" s="35">
        <v>168</v>
      </c>
      <c r="L128" s="35">
        <v>168</v>
      </c>
      <c r="M128" s="35">
        <v>130</v>
      </c>
      <c r="N128" s="35">
        <v>110</v>
      </c>
      <c r="O128" s="35">
        <v>135</v>
      </c>
      <c r="P128" s="35">
        <v>92</v>
      </c>
      <c r="Q128" s="35">
        <v>57</v>
      </c>
      <c r="R128" s="35">
        <v>30</v>
      </c>
      <c r="S128" s="35">
        <v>0</v>
      </c>
      <c r="T128" s="35"/>
      <c r="U128" s="35"/>
      <c r="V128" s="35">
        <v>0</v>
      </c>
      <c r="W128" s="35"/>
      <c r="X128" s="35"/>
      <c r="Y128" s="35"/>
      <c r="Z128" s="35"/>
      <c r="AA128" s="35"/>
      <c r="AB128" s="35"/>
      <c r="AC128" s="35"/>
      <c r="AD128" s="41"/>
    </row>
    <row r="129" spans="2:30" s="32" customFormat="1" ht="15" x14ac:dyDescent="0.15">
      <c r="B129" s="34"/>
      <c r="C129" s="34">
        <v>82</v>
      </c>
      <c r="D129" s="35">
        <v>20</v>
      </c>
      <c r="E129" s="35">
        <v>20</v>
      </c>
      <c r="F129" s="35">
        <v>30</v>
      </c>
      <c r="G129" s="35">
        <v>20</v>
      </c>
      <c r="H129" s="35">
        <v>35</v>
      </c>
      <c r="I129" s="35">
        <v>40</v>
      </c>
      <c r="J129" s="35">
        <v>25</v>
      </c>
      <c r="K129" s="35">
        <v>30</v>
      </c>
      <c r="L129" s="35">
        <v>30</v>
      </c>
      <c r="M129" s="35">
        <v>30</v>
      </c>
      <c r="N129" s="35">
        <v>25</v>
      </c>
      <c r="O129" s="35">
        <v>37</v>
      </c>
      <c r="P129" s="35">
        <v>40</v>
      </c>
      <c r="Q129" s="35">
        <v>95</v>
      </c>
      <c r="R129" s="35">
        <v>186</v>
      </c>
      <c r="S129" s="35">
        <v>4</v>
      </c>
      <c r="T129" s="35"/>
      <c r="U129" s="35"/>
      <c r="V129" s="35">
        <v>0</v>
      </c>
      <c r="W129" s="35"/>
      <c r="X129" s="35"/>
      <c r="Y129" s="35"/>
      <c r="Z129" s="35"/>
      <c r="AA129" s="35"/>
      <c r="AB129" s="35"/>
      <c r="AC129" s="35"/>
      <c r="AD129" s="41"/>
    </row>
    <row r="130" spans="2:30" s="32" customFormat="1" ht="15" x14ac:dyDescent="0.15">
      <c r="B130" s="34"/>
      <c r="C130" s="34">
        <v>85</v>
      </c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>
        <v>0</v>
      </c>
      <c r="W130" s="35"/>
      <c r="X130" s="35"/>
      <c r="Y130" s="35"/>
      <c r="Z130" s="35"/>
      <c r="AA130" s="35"/>
      <c r="AB130" s="35"/>
      <c r="AC130" s="35"/>
      <c r="AD130" s="41"/>
    </row>
    <row r="131" spans="2:30" s="32" customFormat="1" ht="15" x14ac:dyDescent="0.15">
      <c r="B131" s="34"/>
      <c r="C131" s="34">
        <v>98</v>
      </c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>
        <v>0</v>
      </c>
      <c r="W131" s="35"/>
      <c r="X131" s="35"/>
      <c r="Y131" s="35"/>
      <c r="Z131" s="35"/>
      <c r="AA131" s="35"/>
      <c r="AB131" s="35"/>
      <c r="AC131" s="35"/>
      <c r="AD131" s="41"/>
    </row>
    <row r="132" spans="2:30" s="32" customFormat="1" ht="15" x14ac:dyDescent="0.15">
      <c r="B132" s="34"/>
      <c r="C132" s="34">
        <v>26</v>
      </c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>
        <v>0</v>
      </c>
      <c r="W132" s="35"/>
      <c r="X132" s="35"/>
      <c r="Y132" s="35"/>
      <c r="Z132" s="35"/>
      <c r="AA132" s="35"/>
      <c r="AB132" s="35"/>
      <c r="AC132" s="35"/>
      <c r="AD132" s="41"/>
    </row>
    <row r="133" spans="2:30" s="32" customFormat="1" ht="15" x14ac:dyDescent="0.15">
      <c r="B133" s="34"/>
      <c r="C133" s="34">
        <v>46</v>
      </c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>
        <v>0</v>
      </c>
      <c r="W133" s="35"/>
      <c r="X133" s="35"/>
      <c r="Y133" s="35"/>
      <c r="Z133" s="35"/>
      <c r="AA133" s="35"/>
      <c r="AB133" s="35"/>
      <c r="AC133" s="35"/>
      <c r="AD133" s="41"/>
    </row>
    <row r="134" spans="2:30" s="32" customFormat="1" ht="15" x14ac:dyDescent="0.15">
      <c r="B134" s="34"/>
      <c r="C134" s="34">
        <v>48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>
        <v>0</v>
      </c>
      <c r="W134" s="35"/>
      <c r="X134" s="35"/>
      <c r="Y134" s="35"/>
      <c r="Z134" s="35"/>
      <c r="AA134" s="35"/>
      <c r="AB134" s="35"/>
      <c r="AC134" s="35"/>
      <c r="AD134" s="41"/>
    </row>
    <row r="135" spans="2:30" s="32" customFormat="1" ht="15" x14ac:dyDescent="0.15">
      <c r="B135" s="34"/>
      <c r="C135" s="34">
        <v>78</v>
      </c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>
        <v>0</v>
      </c>
      <c r="W135" s="35"/>
      <c r="X135" s="35"/>
      <c r="Y135" s="35"/>
      <c r="Z135" s="35"/>
      <c r="AA135" s="35"/>
      <c r="AB135" s="35"/>
      <c r="AC135" s="35"/>
      <c r="AD135" s="41"/>
    </row>
    <row r="136" spans="2:30" s="32" customFormat="1" ht="15" x14ac:dyDescent="0.15">
      <c r="B136" s="34" t="s">
        <v>92</v>
      </c>
      <c r="C136" s="34"/>
      <c r="D136" s="42">
        <v>2060</v>
      </c>
      <c r="E136" s="42">
        <v>2086</v>
      </c>
      <c r="F136" s="42">
        <v>2412</v>
      </c>
      <c r="G136" s="42">
        <v>1377</v>
      </c>
      <c r="H136" s="42">
        <v>2218</v>
      </c>
      <c r="I136" s="42">
        <v>2499</v>
      </c>
      <c r="J136" s="42">
        <v>2533</v>
      </c>
      <c r="K136" s="42">
        <v>2550</v>
      </c>
      <c r="L136" s="42">
        <v>2323</v>
      </c>
      <c r="M136" s="42">
        <v>2002</v>
      </c>
      <c r="N136" s="42">
        <v>1690</v>
      </c>
      <c r="O136" s="42">
        <v>2440</v>
      </c>
      <c r="P136" s="42">
        <v>395</v>
      </c>
      <c r="Q136" s="42">
        <v>432</v>
      </c>
      <c r="R136" s="42">
        <v>750</v>
      </c>
      <c r="S136" s="42">
        <v>719</v>
      </c>
      <c r="T136" s="42">
        <v>606</v>
      </c>
      <c r="U136" s="42">
        <v>651</v>
      </c>
      <c r="V136" s="42">
        <v>455</v>
      </c>
      <c r="W136" s="42">
        <v>580</v>
      </c>
      <c r="X136" s="42">
        <v>690</v>
      </c>
      <c r="Y136" s="42">
        <v>638</v>
      </c>
      <c r="Z136" s="42">
        <v>415</v>
      </c>
      <c r="AA136" s="42">
        <v>489</v>
      </c>
      <c r="AB136" s="42">
        <v>685</v>
      </c>
      <c r="AC136" s="42">
        <v>501</v>
      </c>
      <c r="AD136" s="41"/>
    </row>
    <row r="137" spans="2:30" s="32" customFormat="1" ht="15" x14ac:dyDescent="0.15">
      <c r="B137" s="34" t="s">
        <v>7</v>
      </c>
      <c r="C137" s="34">
        <v>32</v>
      </c>
      <c r="D137" s="35">
        <v>70</v>
      </c>
      <c r="E137" s="35">
        <v>60</v>
      </c>
      <c r="F137" s="35">
        <v>50</v>
      </c>
      <c r="G137" s="35">
        <v>30</v>
      </c>
      <c r="H137" s="35">
        <v>100</v>
      </c>
      <c r="I137" s="35">
        <v>170</v>
      </c>
      <c r="J137" s="35">
        <v>140</v>
      </c>
      <c r="K137" s="35">
        <v>160</v>
      </c>
      <c r="L137" s="35">
        <v>100</v>
      </c>
      <c r="M137" s="35">
        <v>180</v>
      </c>
      <c r="N137" s="35">
        <v>160</v>
      </c>
      <c r="O137" s="35">
        <v>120</v>
      </c>
      <c r="P137" s="35">
        <v>100</v>
      </c>
      <c r="Q137" s="35">
        <v>110</v>
      </c>
      <c r="R137" s="35">
        <v>230</v>
      </c>
      <c r="S137" s="35">
        <v>150</v>
      </c>
      <c r="T137" s="35">
        <v>130</v>
      </c>
      <c r="U137" s="35">
        <v>111</v>
      </c>
      <c r="V137" s="35">
        <v>186</v>
      </c>
      <c r="W137" s="35">
        <v>108</v>
      </c>
      <c r="X137" s="35">
        <v>147</v>
      </c>
      <c r="Y137" s="35">
        <v>120</v>
      </c>
      <c r="Z137" s="35">
        <v>145</v>
      </c>
      <c r="AA137" s="35">
        <v>98</v>
      </c>
      <c r="AB137" s="35">
        <v>105</v>
      </c>
      <c r="AC137" s="35">
        <v>93</v>
      </c>
      <c r="AD137" s="41"/>
    </row>
    <row r="138" spans="2:30" s="32" customFormat="1" ht="15" x14ac:dyDescent="0.15">
      <c r="B138" s="34"/>
      <c r="C138" s="34">
        <v>40</v>
      </c>
      <c r="D138" s="35">
        <v>20</v>
      </c>
      <c r="E138" s="35">
        <v>0</v>
      </c>
      <c r="F138" s="35">
        <v>0</v>
      </c>
      <c r="G138" s="35">
        <v>0</v>
      </c>
      <c r="H138" s="35"/>
      <c r="I138" s="35">
        <v>5</v>
      </c>
      <c r="J138" s="35">
        <v>10</v>
      </c>
      <c r="K138" s="35">
        <v>20</v>
      </c>
      <c r="L138" s="35">
        <v>10</v>
      </c>
      <c r="M138" s="35">
        <v>20</v>
      </c>
      <c r="N138" s="35">
        <v>25</v>
      </c>
      <c r="O138" s="35">
        <v>15</v>
      </c>
      <c r="P138" s="35"/>
      <c r="Q138" s="35">
        <v>11</v>
      </c>
      <c r="R138" s="35"/>
      <c r="S138" s="35"/>
      <c r="T138" s="35"/>
      <c r="U138" s="35">
        <v>15</v>
      </c>
      <c r="V138" s="35">
        <v>0</v>
      </c>
      <c r="W138" s="35"/>
      <c r="X138" s="35"/>
      <c r="Y138" s="35"/>
      <c r="Z138" s="35"/>
      <c r="AA138" s="35"/>
      <c r="AB138" s="35"/>
      <c r="AC138" s="35"/>
      <c r="AD138" s="41"/>
    </row>
    <row r="139" spans="2:30" s="32" customFormat="1" ht="15" x14ac:dyDescent="0.15">
      <c r="B139" s="34"/>
      <c r="C139" s="34">
        <v>41.5</v>
      </c>
      <c r="D139" s="35">
        <v>45</v>
      </c>
      <c r="E139" s="35">
        <v>30</v>
      </c>
      <c r="F139" s="35">
        <v>50</v>
      </c>
      <c r="G139" s="35">
        <v>60</v>
      </c>
      <c r="H139" s="35">
        <v>100</v>
      </c>
      <c r="I139" s="35">
        <v>170</v>
      </c>
      <c r="J139" s="35">
        <v>370</v>
      </c>
      <c r="K139" s="35">
        <v>500</v>
      </c>
      <c r="L139" s="35">
        <v>470</v>
      </c>
      <c r="M139" s="35">
        <v>540</v>
      </c>
      <c r="N139" s="35">
        <v>635</v>
      </c>
      <c r="O139" s="35"/>
      <c r="P139" s="35"/>
      <c r="Q139" s="35"/>
      <c r="R139" s="35"/>
      <c r="S139" s="35"/>
      <c r="T139" s="35">
        <v>430</v>
      </c>
      <c r="U139" s="35">
        <v>320</v>
      </c>
      <c r="V139" s="35">
        <v>200</v>
      </c>
      <c r="W139" s="35">
        <v>217</v>
      </c>
      <c r="X139" s="35">
        <v>399</v>
      </c>
      <c r="Y139" s="35">
        <v>348</v>
      </c>
      <c r="Z139" s="35">
        <v>225</v>
      </c>
      <c r="AA139" s="35">
        <v>346</v>
      </c>
      <c r="AB139" s="35">
        <v>335</v>
      </c>
      <c r="AC139" s="35">
        <v>246</v>
      </c>
      <c r="AD139" s="41"/>
    </row>
    <row r="140" spans="2:30" s="32" customFormat="1" ht="15" x14ac:dyDescent="0.15">
      <c r="B140" s="34"/>
      <c r="C140" s="34">
        <v>42</v>
      </c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>
        <v>595</v>
      </c>
      <c r="P140" s="35">
        <v>645</v>
      </c>
      <c r="Q140" s="35">
        <v>395</v>
      </c>
      <c r="R140" s="35">
        <v>430</v>
      </c>
      <c r="S140" s="35">
        <v>480</v>
      </c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41"/>
    </row>
    <row r="141" spans="2:30" s="32" customFormat="1" ht="15" x14ac:dyDescent="0.15">
      <c r="B141" s="34"/>
      <c r="C141" s="34">
        <v>45</v>
      </c>
      <c r="D141" s="35">
        <v>0</v>
      </c>
      <c r="E141" s="35">
        <v>15</v>
      </c>
      <c r="F141" s="35">
        <v>10</v>
      </c>
      <c r="G141" s="35">
        <v>30</v>
      </c>
      <c r="H141" s="35">
        <v>10</v>
      </c>
      <c r="I141" s="35">
        <v>5</v>
      </c>
      <c r="J141" s="35">
        <v>1</v>
      </c>
      <c r="K141" s="35">
        <v>40</v>
      </c>
      <c r="L141" s="35">
        <v>40</v>
      </c>
      <c r="M141" s="35">
        <v>55</v>
      </c>
      <c r="N141" s="35">
        <v>57</v>
      </c>
      <c r="O141" s="35">
        <v>5</v>
      </c>
      <c r="P141" s="35">
        <v>2</v>
      </c>
      <c r="Q141" s="35"/>
      <c r="R141" s="35"/>
      <c r="S141" s="35"/>
      <c r="T141" s="35"/>
      <c r="U141" s="35"/>
      <c r="V141" s="35">
        <v>0</v>
      </c>
      <c r="W141" s="35"/>
      <c r="X141" s="35"/>
      <c r="Y141" s="35"/>
      <c r="Z141" s="35"/>
      <c r="AA141" s="35"/>
      <c r="AB141" s="35"/>
      <c r="AC141" s="35"/>
      <c r="AD141" s="41"/>
    </row>
    <row r="142" spans="2:30" x14ac:dyDescent="0.15">
      <c r="C142" s="34">
        <v>55</v>
      </c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>
        <v>0</v>
      </c>
      <c r="W142" s="35"/>
      <c r="X142" s="35"/>
      <c r="Y142" s="35"/>
      <c r="Z142" s="35"/>
      <c r="AA142" s="35"/>
      <c r="AB142" s="35"/>
      <c r="AC142" s="35"/>
    </row>
    <row r="143" spans="2:30" x14ac:dyDescent="0.15">
      <c r="C143" s="34">
        <v>60</v>
      </c>
      <c r="D143" s="35">
        <v>50</v>
      </c>
      <c r="E143" s="35">
        <v>55</v>
      </c>
      <c r="F143" s="35">
        <v>60</v>
      </c>
      <c r="G143" s="35">
        <v>110</v>
      </c>
      <c r="H143" s="35">
        <v>105</v>
      </c>
      <c r="I143" s="35">
        <v>90</v>
      </c>
      <c r="J143" s="35">
        <v>110</v>
      </c>
      <c r="K143" s="35">
        <v>100</v>
      </c>
      <c r="L143" s="35">
        <v>95</v>
      </c>
      <c r="M143" s="35">
        <v>185</v>
      </c>
      <c r="N143" s="35">
        <v>170</v>
      </c>
      <c r="O143" s="35">
        <v>165</v>
      </c>
      <c r="P143" s="35">
        <v>130</v>
      </c>
      <c r="Q143" s="35">
        <v>116</v>
      </c>
      <c r="R143" s="35">
        <v>164</v>
      </c>
      <c r="S143" s="35">
        <v>160</v>
      </c>
      <c r="T143" s="35">
        <v>120</v>
      </c>
      <c r="U143" s="35">
        <v>165</v>
      </c>
      <c r="V143" s="35">
        <v>167</v>
      </c>
      <c r="W143" s="35">
        <v>193</v>
      </c>
      <c r="X143" s="35">
        <v>148</v>
      </c>
      <c r="Y143" s="35">
        <v>133</v>
      </c>
      <c r="Z143" s="35">
        <v>113</v>
      </c>
      <c r="AA143" s="35">
        <v>115</v>
      </c>
      <c r="AB143" s="35">
        <v>200</v>
      </c>
      <c r="AC143" s="35">
        <v>123</v>
      </c>
    </row>
    <row r="144" spans="2:30" x14ac:dyDescent="0.15">
      <c r="C144" s="34">
        <v>65</v>
      </c>
      <c r="D144" s="35"/>
      <c r="E144" s="35"/>
      <c r="F144" s="35"/>
      <c r="G144" s="35">
        <v>20</v>
      </c>
      <c r="H144" s="35">
        <v>45</v>
      </c>
      <c r="I144" s="35">
        <v>120</v>
      </c>
      <c r="J144" s="35">
        <v>200</v>
      </c>
      <c r="K144" s="35">
        <v>200</v>
      </c>
      <c r="L144" s="35">
        <v>270</v>
      </c>
      <c r="M144" s="35">
        <v>280</v>
      </c>
      <c r="N144" s="35">
        <v>300</v>
      </c>
      <c r="O144" s="35">
        <v>265</v>
      </c>
      <c r="P144" s="35">
        <v>320</v>
      </c>
      <c r="Q144" s="35">
        <v>420</v>
      </c>
      <c r="R144" s="35">
        <v>396</v>
      </c>
      <c r="S144" s="35">
        <v>405</v>
      </c>
      <c r="T144" s="35">
        <v>475</v>
      </c>
      <c r="U144" s="35">
        <v>410</v>
      </c>
      <c r="V144" s="35">
        <v>440</v>
      </c>
      <c r="W144" s="35">
        <v>300</v>
      </c>
      <c r="X144" s="35">
        <v>381</v>
      </c>
      <c r="Y144" s="35">
        <v>340</v>
      </c>
      <c r="Z144" s="35">
        <v>395</v>
      </c>
      <c r="AA144" s="35">
        <v>346</v>
      </c>
      <c r="AB144" s="35">
        <v>211</v>
      </c>
      <c r="AC144" s="35">
        <v>299</v>
      </c>
    </row>
    <row r="145" spans="2:29" x14ac:dyDescent="0.15">
      <c r="C145" s="34">
        <v>70</v>
      </c>
      <c r="D145" s="35">
        <v>138</v>
      </c>
      <c r="E145" s="35">
        <v>125</v>
      </c>
      <c r="F145" s="35">
        <v>100</v>
      </c>
      <c r="G145" s="35">
        <v>120</v>
      </c>
      <c r="H145" s="35">
        <v>110</v>
      </c>
      <c r="I145" s="35">
        <v>125</v>
      </c>
      <c r="J145" s="35">
        <v>295</v>
      </c>
      <c r="K145" s="35">
        <v>265</v>
      </c>
      <c r="L145" s="35">
        <v>260</v>
      </c>
      <c r="M145" s="35">
        <v>230</v>
      </c>
      <c r="N145" s="35">
        <v>225</v>
      </c>
      <c r="O145" s="35">
        <v>270</v>
      </c>
      <c r="P145" s="35">
        <v>185</v>
      </c>
      <c r="Q145" s="35">
        <v>260</v>
      </c>
      <c r="R145" s="35">
        <v>220</v>
      </c>
      <c r="S145" s="35">
        <v>209</v>
      </c>
      <c r="T145" s="35">
        <v>200</v>
      </c>
      <c r="U145" s="35">
        <v>202</v>
      </c>
      <c r="V145" s="35">
        <v>215</v>
      </c>
      <c r="W145" s="35">
        <v>241</v>
      </c>
      <c r="X145" s="35">
        <v>240</v>
      </c>
      <c r="Y145" s="35">
        <v>220</v>
      </c>
      <c r="Z145" s="35">
        <v>210</v>
      </c>
      <c r="AA145" s="35">
        <v>145</v>
      </c>
      <c r="AB145" s="35">
        <v>230</v>
      </c>
      <c r="AC145" s="35">
        <v>186</v>
      </c>
    </row>
    <row r="146" spans="2:29" x14ac:dyDescent="0.15">
      <c r="C146" s="34">
        <v>75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>
        <v>15</v>
      </c>
      <c r="N146" s="35">
        <v>15</v>
      </c>
      <c r="O146" s="35">
        <v>45</v>
      </c>
      <c r="P146" s="35">
        <v>40</v>
      </c>
      <c r="Q146" s="35">
        <v>50</v>
      </c>
      <c r="R146" s="35">
        <v>70</v>
      </c>
      <c r="S146" s="35">
        <v>75</v>
      </c>
      <c r="T146" s="35">
        <v>80</v>
      </c>
      <c r="U146" s="35">
        <v>150</v>
      </c>
      <c r="V146" s="35">
        <v>140</v>
      </c>
      <c r="W146" s="35">
        <v>188</v>
      </c>
      <c r="X146" s="35">
        <v>182</v>
      </c>
      <c r="Y146" s="35">
        <v>197</v>
      </c>
      <c r="Z146" s="35">
        <v>143</v>
      </c>
      <c r="AA146" s="35">
        <v>141</v>
      </c>
      <c r="AB146" s="35">
        <v>103</v>
      </c>
      <c r="AC146" s="35">
        <v>135</v>
      </c>
    </row>
    <row r="147" spans="2:29" x14ac:dyDescent="0.15">
      <c r="C147" s="34">
        <v>80</v>
      </c>
      <c r="D147" s="35">
        <v>2</v>
      </c>
      <c r="E147" s="35">
        <v>1</v>
      </c>
      <c r="F147" s="35">
        <v>1</v>
      </c>
      <c r="G147" s="35">
        <v>1</v>
      </c>
      <c r="H147" s="35">
        <v>1</v>
      </c>
      <c r="I147" s="35"/>
      <c r="J147" s="35"/>
      <c r="K147" s="35">
        <v>0.2</v>
      </c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>
        <v>0</v>
      </c>
      <c r="W147" s="35"/>
      <c r="X147" s="35"/>
      <c r="Y147" s="35"/>
      <c r="Z147" s="35"/>
      <c r="AA147" s="35"/>
      <c r="AB147" s="35"/>
      <c r="AC147" s="35"/>
    </row>
    <row r="148" spans="2:29" x14ac:dyDescent="0.15">
      <c r="C148" s="34">
        <v>90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>
        <v>0</v>
      </c>
      <c r="W148" s="35"/>
      <c r="X148" s="35"/>
      <c r="Y148" s="35"/>
      <c r="Z148" s="35"/>
      <c r="AA148" s="35"/>
      <c r="AB148" s="35"/>
      <c r="AC148" s="35"/>
    </row>
    <row r="149" spans="2:29" x14ac:dyDescent="0.15">
      <c r="C149" s="34">
        <v>46</v>
      </c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>
        <v>0</v>
      </c>
      <c r="W149" s="35"/>
      <c r="X149" s="35"/>
      <c r="Y149" s="35"/>
      <c r="Z149" s="35"/>
      <c r="AA149" s="35"/>
      <c r="AB149" s="35"/>
      <c r="AC149" s="35"/>
    </row>
    <row r="150" spans="2:29" x14ac:dyDescent="0.15">
      <c r="C150" s="34">
        <v>52</v>
      </c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>
        <v>0</v>
      </c>
      <c r="W150" s="35"/>
      <c r="X150" s="35"/>
      <c r="Y150" s="35"/>
      <c r="Z150" s="35"/>
      <c r="AA150" s="35"/>
      <c r="AB150" s="35"/>
      <c r="AC150" s="35"/>
    </row>
    <row r="151" spans="2:29" x14ac:dyDescent="0.15">
      <c r="B151" s="34" t="s">
        <v>93</v>
      </c>
      <c r="D151" s="42">
        <v>325</v>
      </c>
      <c r="E151" s="42">
        <v>286</v>
      </c>
      <c r="F151" s="42">
        <v>271</v>
      </c>
      <c r="G151" s="42">
        <v>371</v>
      </c>
      <c r="H151" s="42">
        <v>471</v>
      </c>
      <c r="I151" s="42">
        <v>685</v>
      </c>
      <c r="J151" s="42">
        <v>1126</v>
      </c>
      <c r="K151" s="42">
        <v>1285.2</v>
      </c>
      <c r="L151" s="42">
        <v>1245</v>
      </c>
      <c r="M151" s="42">
        <v>1505</v>
      </c>
      <c r="N151" s="42">
        <v>1587</v>
      </c>
      <c r="O151" s="42">
        <v>1480</v>
      </c>
      <c r="P151" s="42">
        <v>1422</v>
      </c>
      <c r="Q151" s="42">
        <v>1362</v>
      </c>
      <c r="R151" s="42">
        <v>1510</v>
      </c>
      <c r="S151" s="42">
        <v>1479</v>
      </c>
      <c r="T151" s="42">
        <v>1435</v>
      </c>
      <c r="U151" s="42">
        <v>1373</v>
      </c>
      <c r="V151" s="42">
        <v>1348</v>
      </c>
      <c r="W151" s="42">
        <v>1247</v>
      </c>
      <c r="X151" s="42">
        <v>1497</v>
      </c>
      <c r="Y151" s="42">
        <v>1358</v>
      </c>
      <c r="Z151" s="42">
        <v>1231</v>
      </c>
      <c r="AA151" s="42">
        <v>1191</v>
      </c>
      <c r="AB151" s="42">
        <v>1184</v>
      </c>
      <c r="AC151" s="42">
        <v>1082</v>
      </c>
    </row>
    <row r="152" spans="2:29" x14ac:dyDescent="0.15">
      <c r="B152" s="34" t="s">
        <v>51</v>
      </c>
      <c r="D152" s="42">
        <v>20288</v>
      </c>
      <c r="E152" s="42">
        <v>19925</v>
      </c>
      <c r="F152" s="42">
        <v>23234</v>
      </c>
      <c r="G152" s="42">
        <v>19212.099999999999</v>
      </c>
      <c r="H152" s="42">
        <v>21894.600000000002</v>
      </c>
      <c r="I152" s="42">
        <v>23369.600000000002</v>
      </c>
      <c r="J152" s="42">
        <v>23017.7</v>
      </c>
      <c r="K152" s="42">
        <v>24054.100000000002</v>
      </c>
      <c r="L152" s="42">
        <v>23777</v>
      </c>
      <c r="M152" s="42">
        <v>23286</v>
      </c>
      <c r="N152" s="42">
        <v>22442</v>
      </c>
      <c r="O152" s="42">
        <v>23859.1</v>
      </c>
      <c r="P152" s="42">
        <v>21906</v>
      </c>
      <c r="Q152" s="42">
        <v>20701</v>
      </c>
      <c r="R152" s="42">
        <v>23224.5</v>
      </c>
      <c r="S152" s="42">
        <v>21119</v>
      </c>
      <c r="T152" s="42">
        <v>21220</v>
      </c>
      <c r="U152" s="42">
        <v>20612</v>
      </c>
      <c r="V152" s="42">
        <v>20193.2</v>
      </c>
      <c r="W152" s="42">
        <v>19307</v>
      </c>
      <c r="X152" s="42">
        <v>21422</v>
      </c>
      <c r="Y152" s="42">
        <v>21508</v>
      </c>
      <c r="Z152" s="42">
        <v>20950</v>
      </c>
      <c r="AA152" s="42">
        <v>22818</v>
      </c>
      <c r="AB152" s="42">
        <v>21427</v>
      </c>
      <c r="AC152" s="42">
        <v>21104</v>
      </c>
    </row>
    <row r="153" spans="2:29" ht="15" x14ac:dyDescent="0.2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2:29" ht="15" x14ac:dyDescent="0.2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2:29" ht="15" x14ac:dyDescent="0.2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</row>
    <row r="156" spans="2:29" ht="15" x14ac:dyDescent="0.2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 spans="2:29" ht="15" x14ac:dyDescent="0.2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 spans="2:29" ht="15" x14ac:dyDescent="0.2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</row>
    <row r="159" spans="2:29" ht="15" x14ac:dyDescent="0.2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</row>
    <row r="160" spans="2:29" ht="15" x14ac:dyDescent="0.2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 spans="2:23" ht="15" x14ac:dyDescent="0.2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</row>
    <row r="162" spans="2:23" ht="15" x14ac:dyDescent="0.2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</row>
    <row r="163" spans="2:23" ht="15" x14ac:dyDescent="0.2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</row>
    <row r="164" spans="2:23" ht="15" x14ac:dyDescent="0.2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 spans="2:23" ht="15" x14ac:dyDescent="0.2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</row>
    <row r="166" spans="2:23" ht="15" x14ac:dyDescent="0.2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</row>
    <row r="167" spans="2:23" ht="15" x14ac:dyDescent="0.2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</row>
    <row r="168" spans="2:23" ht="15" x14ac:dyDescent="0.2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</row>
    <row r="169" spans="2:23" ht="15" x14ac:dyDescent="0.2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</row>
  </sheetData>
  <phoneticPr fontId="1" type="noConversion"/>
  <hyperlinks>
    <hyperlink ref="Z1" location="Index!A1" display="Index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A4128"/>
  </sheetPr>
  <dimension ref="A1:AD152"/>
  <sheetViews>
    <sheetView showGridLines="0" showZeros="0" zoomScale="70" zoomScaleNormal="70" workbookViewId="0">
      <selection activeCell="M18" sqref="M18"/>
    </sheetView>
  </sheetViews>
  <sheetFormatPr baseColWidth="10" defaultColWidth="8.83203125" defaultRowHeight="14" x14ac:dyDescent="0.15"/>
  <cols>
    <col min="1" max="1" width="3.1640625" style="34" customWidth="1"/>
    <col min="2" max="2" width="27.83203125" style="34" bestFit="1" customWidth="1"/>
    <col min="3" max="3" width="10" style="34" bestFit="1" customWidth="1"/>
    <col min="4" max="4" width="9.1640625" style="34" bestFit="1" customWidth="1"/>
    <col min="5" max="29" width="6.1640625" style="34" bestFit="1" customWidth="1"/>
    <col min="30" max="30" width="7" style="34" bestFit="1" customWidth="1"/>
    <col min="31" max="43" width="24" style="34" bestFit="1" customWidth="1"/>
    <col min="44" max="44" width="21.6640625" style="34" bestFit="1" customWidth="1"/>
    <col min="45" max="45" width="27.83203125" style="34" bestFit="1" customWidth="1"/>
    <col min="46" max="16384" width="8.83203125" style="34"/>
  </cols>
  <sheetData>
    <row r="1" spans="1:30" ht="27" customHeight="1" x14ac:dyDescent="0.15">
      <c r="A1" s="36"/>
      <c r="B1" s="15" t="s">
        <v>57</v>
      </c>
      <c r="C1" s="15"/>
      <c r="D1" s="15"/>
      <c r="E1" s="15"/>
      <c r="F1" s="15"/>
      <c r="G1" s="15"/>
      <c r="H1" s="15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7" t="s">
        <v>45</v>
      </c>
      <c r="AA1" s="38"/>
      <c r="AB1" s="38"/>
      <c r="AC1" s="39">
        <f>'Important Notice'!L1</f>
        <v>44593</v>
      </c>
    </row>
    <row r="3" spans="1:30" x14ac:dyDescent="0.15">
      <c r="B3" s="33" t="s">
        <v>11</v>
      </c>
      <c r="C3" s="34" t="s">
        <v>52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 x14ac:dyDescent="0.15">
      <c r="B4" s="33" t="s">
        <v>0</v>
      </c>
      <c r="C4" s="34" t="s">
        <v>52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 x14ac:dyDescent="0.15">
      <c r="B5" s="33" t="s">
        <v>53</v>
      </c>
      <c r="C5" s="34" t="s">
        <v>52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 x14ac:dyDescent="0.15"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 ht="15" x14ac:dyDescent="0.2">
      <c r="B7" s="33" t="s">
        <v>55</v>
      </c>
      <c r="D7" s="33" t="s">
        <v>12</v>
      </c>
      <c r="AD7"/>
    </row>
    <row r="8" spans="1:30" ht="15" x14ac:dyDescent="0.2">
      <c r="B8" s="33" t="s">
        <v>10</v>
      </c>
      <c r="C8" s="33" t="s">
        <v>13</v>
      </c>
      <c r="D8" s="51">
        <v>20.010000000000002</v>
      </c>
      <c r="E8" s="51" t="s">
        <v>63</v>
      </c>
      <c r="F8" s="51" t="s">
        <v>64</v>
      </c>
      <c r="G8" s="51" t="s">
        <v>65</v>
      </c>
      <c r="H8" s="51" t="s">
        <v>66</v>
      </c>
      <c r="I8" s="51" t="s">
        <v>67</v>
      </c>
      <c r="J8" s="51" t="s">
        <v>68</v>
      </c>
      <c r="K8" s="51" t="s">
        <v>69</v>
      </c>
      <c r="L8" s="51" t="s">
        <v>70</v>
      </c>
      <c r="M8" s="51" t="s">
        <v>71</v>
      </c>
      <c r="N8" s="51" t="s">
        <v>72</v>
      </c>
      <c r="O8" s="51" t="s">
        <v>73</v>
      </c>
      <c r="P8" s="51">
        <v>21.01</v>
      </c>
      <c r="Q8" s="51" t="s">
        <v>74</v>
      </c>
      <c r="R8" s="51" t="s">
        <v>75</v>
      </c>
      <c r="S8" s="51" t="s">
        <v>76</v>
      </c>
      <c r="T8" s="51" t="s">
        <v>77</v>
      </c>
      <c r="U8" s="51" t="s">
        <v>78</v>
      </c>
      <c r="V8" s="51">
        <v>21.07</v>
      </c>
      <c r="W8" s="51" t="s">
        <v>79</v>
      </c>
      <c r="X8" s="51" t="s">
        <v>80</v>
      </c>
      <c r="Y8" s="51" t="s">
        <v>81</v>
      </c>
      <c r="Z8" s="51">
        <v>21.11</v>
      </c>
      <c r="AA8" s="51">
        <v>21.12</v>
      </c>
      <c r="AB8" s="51">
        <v>22.01</v>
      </c>
      <c r="AC8" s="51">
        <v>22.02</v>
      </c>
      <c r="AD8"/>
    </row>
    <row r="9" spans="1:30" ht="15" x14ac:dyDescent="0.2">
      <c r="B9" s="34" t="s">
        <v>1</v>
      </c>
      <c r="C9" s="34">
        <v>19.5</v>
      </c>
      <c r="D9" s="42">
        <v>0.83860845008902074</v>
      </c>
      <c r="E9" s="42">
        <v>1.1530866188724036</v>
      </c>
      <c r="F9" s="42">
        <v>1.4675647876557862</v>
      </c>
      <c r="G9" s="42">
        <v>1.4675647876557862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/>
    </row>
    <row r="10" spans="1:30" ht="15" x14ac:dyDescent="0.2">
      <c r="C10" s="34">
        <v>21.6</v>
      </c>
      <c r="D10" s="42">
        <v>6.3715771869436191</v>
      </c>
      <c r="E10" s="42">
        <v>3.06</v>
      </c>
      <c r="F10" s="42">
        <v>3.82</v>
      </c>
      <c r="G10" s="42">
        <v>7.65</v>
      </c>
      <c r="H10" s="42">
        <v>5.99</v>
      </c>
      <c r="I10" s="42">
        <v>6.75</v>
      </c>
      <c r="J10" s="42">
        <v>6.37</v>
      </c>
      <c r="K10" s="42">
        <v>1.4</v>
      </c>
      <c r="L10" s="42">
        <v>1.53</v>
      </c>
      <c r="M10" s="42">
        <v>2.8</v>
      </c>
      <c r="N10" s="42">
        <v>3.31</v>
      </c>
      <c r="O10" s="42">
        <v>4.59</v>
      </c>
      <c r="P10" s="42">
        <v>5.48</v>
      </c>
      <c r="Q10" s="42">
        <v>3.6955147684272993</v>
      </c>
      <c r="R10" s="42">
        <v>5.097261749554896</v>
      </c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/>
    </row>
    <row r="11" spans="1:30" ht="15" x14ac:dyDescent="0.2">
      <c r="C11" s="34">
        <v>32</v>
      </c>
      <c r="D11" s="42">
        <v>28.229291679525222</v>
      </c>
      <c r="E11" s="42">
        <v>19.19591834207715</v>
      </c>
      <c r="F11" s="42">
        <v>36.698079183382788</v>
      </c>
      <c r="G11" s="42">
        <v>28.229291679525222</v>
      </c>
      <c r="H11" s="42">
        <v>34.439735849020771</v>
      </c>
      <c r="I11" s="42">
        <v>40.932472935311573</v>
      </c>
      <c r="J11" s="42">
        <v>29.64075626350148</v>
      </c>
      <c r="K11" s="42">
        <v>62.104441694955483</v>
      </c>
      <c r="L11" s="42">
        <v>60.692977110979221</v>
      </c>
      <c r="M11" s="42">
        <v>56.458583359050444</v>
      </c>
      <c r="N11" s="42">
        <v>25.406362511572699</v>
      </c>
      <c r="O11" s="42">
        <v>31.616806681068248</v>
      </c>
      <c r="P11" s="42">
        <v>18.349039591691394</v>
      </c>
      <c r="Q11" s="42">
        <v>31.334513764272995</v>
      </c>
      <c r="R11" s="42">
        <v>46.013745437626106</v>
      </c>
      <c r="S11" s="42">
        <v>24.841776677982192</v>
      </c>
      <c r="T11" s="42">
        <v>29.64075626350148</v>
      </c>
      <c r="U11" s="42">
        <v>34.157442932225514</v>
      </c>
      <c r="V11" s="42">
        <v>27.664705845934716</v>
      </c>
      <c r="W11" s="42">
        <v>31.899099597863501</v>
      </c>
      <c r="X11" s="42">
        <v>20.042797092462905</v>
      </c>
      <c r="Y11" s="42">
        <v>14.114645839762611</v>
      </c>
      <c r="Z11" s="42">
        <v>14.961524590148366</v>
      </c>
      <c r="AA11" s="42">
        <v>33.028271265044509</v>
      </c>
      <c r="AB11" s="42">
        <v>23.148019177210681</v>
      </c>
      <c r="AC11" s="42">
        <v>34.439735849020771</v>
      </c>
      <c r="AD11"/>
    </row>
    <row r="12" spans="1:30" ht="15" x14ac:dyDescent="0.2">
      <c r="C12" s="34">
        <v>39</v>
      </c>
      <c r="D12" s="42">
        <v>22.223123927359051</v>
      </c>
      <c r="E12" s="42">
        <v>8.8053887259347174</v>
      </c>
      <c r="F12" s="42">
        <v>23.06173237744807</v>
      </c>
      <c r="G12" s="42">
        <v>6.2895633756676554</v>
      </c>
      <c r="H12" s="42">
        <v>8.3860845008902078</v>
      </c>
      <c r="I12" s="42">
        <v>12.579126751335311</v>
      </c>
      <c r="J12" s="42">
        <v>2.096521125222552</v>
      </c>
      <c r="K12" s="42">
        <v>0</v>
      </c>
      <c r="L12" s="42">
        <v>0</v>
      </c>
      <c r="M12" s="42">
        <v>0</v>
      </c>
      <c r="N12" s="42">
        <v>0</v>
      </c>
      <c r="O12" s="42"/>
      <c r="P12" s="42"/>
      <c r="Q12" s="42"/>
      <c r="R12" s="42"/>
      <c r="S12" s="42"/>
      <c r="T12" s="42"/>
      <c r="U12" s="42"/>
      <c r="V12" s="42">
        <v>0</v>
      </c>
      <c r="W12" s="42"/>
      <c r="X12" s="42"/>
      <c r="Y12" s="42"/>
      <c r="Z12" s="42"/>
      <c r="AA12" s="42"/>
      <c r="AB12" s="42"/>
      <c r="AC12" s="42"/>
      <c r="AD12"/>
    </row>
    <row r="13" spans="1:30" ht="15" x14ac:dyDescent="0.2">
      <c r="C13" s="34">
        <v>40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>
        <v>0</v>
      </c>
      <c r="W13" s="42"/>
      <c r="X13" s="42"/>
      <c r="Y13" s="42"/>
      <c r="Z13" s="42"/>
      <c r="AA13" s="42"/>
      <c r="AB13" s="42"/>
      <c r="AC13" s="42"/>
      <c r="AD13"/>
    </row>
    <row r="14" spans="1:30" ht="15" x14ac:dyDescent="0.2">
      <c r="C14" s="34">
        <v>42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>
        <v>0</v>
      </c>
      <c r="W14" s="42"/>
      <c r="X14" s="42"/>
      <c r="Y14" s="42"/>
      <c r="Z14" s="42"/>
      <c r="AA14" s="42"/>
      <c r="AB14" s="42"/>
      <c r="AC14" s="42"/>
      <c r="AD14"/>
    </row>
    <row r="15" spans="1:30" ht="15" x14ac:dyDescent="0.2">
      <c r="C15" s="34">
        <v>43</v>
      </c>
      <c r="D15" s="42">
        <v>291.05364589958452</v>
      </c>
      <c r="E15" s="42">
        <v>256.39226600261122</v>
      </c>
      <c r="F15" s="42">
        <v>305.83570497329373</v>
      </c>
      <c r="G15" s="42">
        <v>300.73844322373884</v>
      </c>
      <c r="H15" s="42">
        <v>305.83570497329373</v>
      </c>
      <c r="I15" s="42">
        <v>341.51653722017801</v>
      </c>
      <c r="J15" s="42">
        <v>300.73844322373884</v>
      </c>
      <c r="K15" s="42">
        <v>300.73844322373884</v>
      </c>
      <c r="L15" s="42">
        <v>331.32201372106823</v>
      </c>
      <c r="M15" s="42">
        <v>285.44665797507417</v>
      </c>
      <c r="N15" s="42">
        <v>327.75393049637978</v>
      </c>
      <c r="O15" s="42">
        <v>321.1274902219584</v>
      </c>
      <c r="P15" s="42">
        <v>298.69953852391689</v>
      </c>
      <c r="Q15" s="42">
        <v>305.83570497329373</v>
      </c>
      <c r="R15" s="42">
        <v>286.46611032498515</v>
      </c>
      <c r="S15" s="42">
        <v>307.36488349816022</v>
      </c>
      <c r="T15" s="42">
        <v>321.1274902219584</v>
      </c>
      <c r="U15" s="42">
        <v>306.85515732320471</v>
      </c>
      <c r="V15" s="42">
        <v>292.0730982494955</v>
      </c>
      <c r="W15" s="42">
        <v>308.89406202302666</v>
      </c>
      <c r="X15" s="42">
        <v>286.46611032498515</v>
      </c>
      <c r="Y15" s="42">
        <v>307.36488349816022</v>
      </c>
      <c r="Z15" s="42">
        <v>307.87460967311569</v>
      </c>
      <c r="AA15" s="42">
        <v>333.87064459584565</v>
      </c>
      <c r="AB15" s="42">
        <v>288.50501502480711</v>
      </c>
      <c r="AC15" s="42">
        <v>305.83570497329373</v>
      </c>
      <c r="AD15"/>
    </row>
    <row r="16" spans="1:30" ht="15" x14ac:dyDescent="0.2">
      <c r="C16" s="34">
        <v>50</v>
      </c>
      <c r="D16" s="42">
        <v>209.51427418397626</v>
      </c>
      <c r="E16" s="42">
        <v>184.0141816023739</v>
      </c>
      <c r="F16" s="42">
        <v>255.00092581602374</v>
      </c>
      <c r="G16" s="42">
        <v>186.08175667655786</v>
      </c>
      <c r="H16" s="42">
        <v>244.66305044510386</v>
      </c>
      <c r="I16" s="42">
        <v>234.32517507418396</v>
      </c>
      <c r="J16" s="42">
        <v>213.64942433234421</v>
      </c>
      <c r="K16" s="42">
        <v>196.41963204747773</v>
      </c>
      <c r="L16" s="42">
        <v>173.67630623145399</v>
      </c>
      <c r="M16" s="42">
        <v>137.83833827893176</v>
      </c>
      <c r="N16" s="42">
        <v>169.54115608308607</v>
      </c>
      <c r="O16" s="42">
        <v>168.85196439169138</v>
      </c>
      <c r="P16" s="42">
        <v>197.79801543026707</v>
      </c>
      <c r="Q16" s="42">
        <v>170.23034777448072</v>
      </c>
      <c r="R16" s="42">
        <v>174.36549792284868</v>
      </c>
      <c r="S16" s="42">
        <v>155.75732225519289</v>
      </c>
      <c r="T16" s="42">
        <v>158.51408902077151</v>
      </c>
      <c r="U16" s="42">
        <v>165.40600593471811</v>
      </c>
      <c r="V16" s="42">
        <v>180.56822314540059</v>
      </c>
      <c r="W16" s="42">
        <v>168.16277270029673</v>
      </c>
      <c r="X16" s="42">
        <v>195.73044035608308</v>
      </c>
      <c r="Y16" s="42">
        <v>163.33843086053412</v>
      </c>
      <c r="Z16" s="42">
        <v>128.87884629080119</v>
      </c>
      <c r="AA16" s="42">
        <v>117.85177922848665</v>
      </c>
      <c r="AB16" s="42">
        <v>143.35187181008902</v>
      </c>
      <c r="AC16" s="42">
        <v>131.63561305637981</v>
      </c>
      <c r="AD16"/>
    </row>
    <row r="17" spans="2:30" ht="15" x14ac:dyDescent="0.2">
      <c r="C17" s="34">
        <v>55</v>
      </c>
      <c r="D17" s="42">
        <v>230.99637920474774</v>
      </c>
      <c r="E17" s="42">
        <v>233.49814504451035</v>
      </c>
      <c r="F17" s="42">
        <v>287.70307157270025</v>
      </c>
      <c r="G17" s="42">
        <v>250.17658397626107</v>
      </c>
      <c r="H17" s="42">
        <v>261.01756928189906</v>
      </c>
      <c r="I17" s="42">
        <v>266.85502290801185</v>
      </c>
      <c r="J17" s="42">
        <v>291.87268130563791</v>
      </c>
      <c r="K17" s="42">
        <v>287.70307157270025</v>
      </c>
      <c r="L17" s="42">
        <v>316.89033970326403</v>
      </c>
      <c r="M17" s="42">
        <v>314.38857386350145</v>
      </c>
      <c r="N17" s="42">
        <v>290.20483741246284</v>
      </c>
      <c r="O17" s="42">
        <v>308.55112023738866</v>
      </c>
      <c r="P17" s="42">
        <v>306.88327634421358</v>
      </c>
      <c r="Q17" s="42">
        <v>242.67128645697323</v>
      </c>
      <c r="R17" s="42">
        <v>266.02110096142428</v>
      </c>
      <c r="S17" s="42">
        <v>287.70307157270025</v>
      </c>
      <c r="T17" s="42">
        <v>271.02463264094951</v>
      </c>
      <c r="U17" s="42">
        <v>269.35678874777443</v>
      </c>
      <c r="V17" s="42">
        <v>275.19424237388716</v>
      </c>
      <c r="W17" s="42">
        <v>256.01403760237383</v>
      </c>
      <c r="X17" s="42">
        <v>252.67834981602368</v>
      </c>
      <c r="Y17" s="42">
        <v>260.18364733531155</v>
      </c>
      <c r="Z17" s="42">
        <v>235.16598893768543</v>
      </c>
      <c r="AA17" s="42">
        <v>265.18717901483677</v>
      </c>
      <c r="AB17" s="42">
        <v>225.15892557863498</v>
      </c>
      <c r="AC17" s="42">
        <v>184.29675019584568</v>
      </c>
      <c r="AD17"/>
    </row>
    <row r="18" spans="2:30" ht="15" x14ac:dyDescent="0.2">
      <c r="C18" s="34">
        <v>65</v>
      </c>
      <c r="D18" s="42">
        <v>234.11152564985161</v>
      </c>
      <c r="E18" s="42">
        <v>236.44099356676554</v>
      </c>
      <c r="F18" s="42">
        <v>273.71248023738866</v>
      </c>
      <c r="G18" s="42">
        <v>279.53615002967354</v>
      </c>
      <c r="H18" s="42">
        <v>237.60572752522253</v>
      </c>
      <c r="I18" s="42">
        <v>244.59413127596437</v>
      </c>
      <c r="J18" s="42">
        <v>244.59413127596437</v>
      </c>
      <c r="K18" s="42">
        <v>221.2994521068249</v>
      </c>
      <c r="L18" s="42">
        <v>227.12312189910978</v>
      </c>
      <c r="M18" s="42">
        <v>232.94679169139462</v>
      </c>
      <c r="N18" s="42">
        <v>231.78205773293766</v>
      </c>
      <c r="O18" s="42">
        <v>230.6173237744807</v>
      </c>
      <c r="P18" s="42">
        <v>221.2994521068249</v>
      </c>
      <c r="Q18" s="42">
        <v>173.545359810089</v>
      </c>
      <c r="R18" s="42">
        <v>180.53376356083083</v>
      </c>
      <c r="S18" s="42">
        <v>186.35743335311571</v>
      </c>
      <c r="T18" s="42">
        <v>174.71009376854596</v>
      </c>
      <c r="U18" s="42">
        <v>185.19269939465872</v>
      </c>
      <c r="V18" s="42">
        <v>168.88642397626111</v>
      </c>
      <c r="W18" s="42">
        <v>137.43860709792284</v>
      </c>
      <c r="X18" s="42">
        <v>128.12073543026705</v>
      </c>
      <c r="Y18" s="42">
        <v>119.96759772106823</v>
      </c>
      <c r="Z18" s="42">
        <v>124.62653355489613</v>
      </c>
      <c r="AA18" s="42">
        <v>116.47339584569731</v>
      </c>
      <c r="AB18" s="42">
        <v>119.96759772106823</v>
      </c>
      <c r="AC18" s="42">
        <v>116.47339584569731</v>
      </c>
      <c r="AD18"/>
    </row>
    <row r="19" spans="2:30" ht="15" x14ac:dyDescent="0.2">
      <c r="C19" s="34">
        <v>75</v>
      </c>
      <c r="D19" s="42">
        <v>46.520439169139465</v>
      </c>
      <c r="E19" s="42">
        <v>37.216351335311572</v>
      </c>
      <c r="F19" s="42">
        <v>83.736790504451037</v>
      </c>
      <c r="G19" s="42">
        <v>93.04087833827893</v>
      </c>
      <c r="H19" s="42">
        <v>46.520439169139465</v>
      </c>
      <c r="I19" s="42">
        <v>44.969757863501485</v>
      </c>
      <c r="J19" s="42">
        <v>40.317713946587538</v>
      </c>
      <c r="K19" s="42">
        <v>35.665670029673592</v>
      </c>
      <c r="L19" s="42">
        <v>27.912263501483679</v>
      </c>
      <c r="M19" s="42">
        <v>24.810900890207716</v>
      </c>
      <c r="N19" s="42">
        <v>18.608175667655786</v>
      </c>
      <c r="O19" s="42">
        <v>15.506813056379823</v>
      </c>
      <c r="P19" s="42">
        <v>13.956131750741839</v>
      </c>
      <c r="Q19" s="42">
        <v>10.854769139465876</v>
      </c>
      <c r="R19" s="42">
        <v>6.2027252225519289</v>
      </c>
      <c r="S19" s="42">
        <v>6.2027252225519289</v>
      </c>
      <c r="T19" s="42">
        <v>6.2027252225519289</v>
      </c>
      <c r="U19" s="42">
        <v>4.6520439169139465</v>
      </c>
      <c r="V19" s="42">
        <v>3.1013626112759645</v>
      </c>
      <c r="W19" s="42">
        <v>3.1013626112759645</v>
      </c>
      <c r="X19" s="42">
        <v>3.1013626112759645</v>
      </c>
      <c r="Y19" s="42">
        <v>3.101362611275964</v>
      </c>
      <c r="Z19" s="42">
        <v>3.1013626112759645</v>
      </c>
      <c r="AA19" s="42">
        <v>1.5506813056379822</v>
      </c>
      <c r="AB19" s="42">
        <v>3.1013626112759645</v>
      </c>
      <c r="AC19" s="42">
        <v>3.1013626112759645</v>
      </c>
      <c r="AD19"/>
    </row>
    <row r="20" spans="2:30" ht="15" x14ac:dyDescent="0.2">
      <c r="C20" s="34">
        <v>85</v>
      </c>
      <c r="D20" s="42">
        <v>63.736447620178033</v>
      </c>
      <c r="E20" s="42">
        <v>81.662323513353101</v>
      </c>
      <c r="F20" s="42">
        <v>89.62937946587536</v>
      </c>
      <c r="G20" s="42">
        <v>79.670559525222544</v>
      </c>
      <c r="H20" s="42">
        <v>99.588199406528176</v>
      </c>
      <c r="I20" s="42">
        <v>103.57172738278931</v>
      </c>
      <c r="J20" s="42">
        <v>115.52231131157268</v>
      </c>
      <c r="K20" s="42">
        <v>147.39053512166171</v>
      </c>
      <c r="L20" s="42">
        <v>157.34935506231452</v>
      </c>
      <c r="M20" s="42">
        <v>119.50583928783381</v>
      </c>
      <c r="N20" s="42">
        <v>131.4564232166172</v>
      </c>
      <c r="O20" s="42">
        <v>131.4564232166172</v>
      </c>
      <c r="P20" s="42">
        <v>129.46465922848662</v>
      </c>
      <c r="Q20" s="42">
        <v>141.41524315727</v>
      </c>
      <c r="R20" s="42">
        <v>135.43995119287831</v>
      </c>
      <c r="S20" s="42">
        <v>119.50583928783381</v>
      </c>
      <c r="T20" s="42">
        <v>159.34111905044509</v>
      </c>
      <c r="U20" s="42">
        <v>139.42347916913945</v>
      </c>
      <c r="V20" s="42">
        <v>159.34111905044509</v>
      </c>
      <c r="W20" s="42">
        <v>183.24228690801183</v>
      </c>
      <c r="X20" s="42">
        <v>187.22581488427298</v>
      </c>
      <c r="Y20" s="42">
        <v>195.19287083679524</v>
      </c>
      <c r="Z20" s="42">
        <v>199.17639881305635</v>
      </c>
      <c r="AA20" s="42">
        <v>223.07756667062313</v>
      </c>
      <c r="AB20" s="42">
        <v>185.23405089614241</v>
      </c>
      <c r="AC20" s="42">
        <v>177.26699494362015</v>
      </c>
      <c r="AD20"/>
    </row>
    <row r="21" spans="2:30" ht="15" x14ac:dyDescent="0.2">
      <c r="C21" s="34">
        <v>26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>
        <v>0</v>
      </c>
      <c r="W21" s="42"/>
      <c r="X21" s="42"/>
      <c r="Y21" s="42"/>
      <c r="Z21" s="42"/>
      <c r="AA21" s="42"/>
      <c r="AB21" s="42"/>
      <c r="AC21" s="42"/>
      <c r="AD21"/>
    </row>
    <row r="22" spans="2:30" ht="15" x14ac:dyDescent="0.2">
      <c r="C22" s="34">
        <v>46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>
        <v>0</v>
      </c>
      <c r="W22" s="42"/>
      <c r="X22" s="42"/>
      <c r="Y22" s="42"/>
      <c r="Z22" s="42"/>
      <c r="AA22" s="42"/>
      <c r="AB22" s="42"/>
      <c r="AC22" s="42"/>
      <c r="AD22"/>
    </row>
    <row r="23" spans="2:30" ht="15" x14ac:dyDescent="0.2">
      <c r="B23" s="34" t="s">
        <v>84</v>
      </c>
      <c r="D23" s="42">
        <v>1133.5953129713946</v>
      </c>
      <c r="E23" s="42">
        <v>1061.43865475181</v>
      </c>
      <c r="F23" s="42">
        <v>1360.6657289182194</v>
      </c>
      <c r="G23" s="42">
        <v>1232.8807916125816</v>
      </c>
      <c r="H23" s="42">
        <v>1244.046511151098</v>
      </c>
      <c r="I23" s="42">
        <v>1296.0939514112756</v>
      </c>
      <c r="J23" s="42">
        <v>1244.8019827845694</v>
      </c>
      <c r="K23" s="42">
        <v>1252.7212457970325</v>
      </c>
      <c r="L23" s="42">
        <v>1296.4963772296735</v>
      </c>
      <c r="M23" s="42">
        <v>1174.195685345994</v>
      </c>
      <c r="N23" s="42">
        <v>1198.0629431207119</v>
      </c>
      <c r="O23" s="42">
        <v>1212.3179415795844</v>
      </c>
      <c r="P23" s="42">
        <v>1191.9301129761423</v>
      </c>
      <c r="Q23" s="42">
        <v>1079.582739844273</v>
      </c>
      <c r="R23" s="42">
        <v>1100.1401563727004</v>
      </c>
      <c r="S23" s="42">
        <v>1087.7330518675369</v>
      </c>
      <c r="T23" s="42">
        <v>1120.5609061887239</v>
      </c>
      <c r="U23" s="42">
        <v>1105.0436174186348</v>
      </c>
      <c r="V23" s="42">
        <v>1106.8291752527</v>
      </c>
      <c r="W23" s="42">
        <v>1088.7522285407713</v>
      </c>
      <c r="X23" s="42">
        <v>1073.3656105153707</v>
      </c>
      <c r="Y23" s="42">
        <v>1063.2634387029079</v>
      </c>
      <c r="Z23" s="42">
        <v>1013.7852644709791</v>
      </c>
      <c r="AA23" s="42">
        <v>1091.0395179261718</v>
      </c>
      <c r="AB23" s="42">
        <v>988.46684281922853</v>
      </c>
      <c r="AC23" s="42">
        <v>953.04955747513338</v>
      </c>
      <c r="AD23"/>
    </row>
    <row r="24" spans="2:30" ht="15" x14ac:dyDescent="0.2">
      <c r="B24" s="34" t="s">
        <v>9</v>
      </c>
      <c r="C24" s="34">
        <v>18.5</v>
      </c>
      <c r="D24" s="42">
        <v>0.94350342551928779</v>
      </c>
      <c r="E24" s="42">
        <v>0</v>
      </c>
      <c r="F24" s="42">
        <v>0</v>
      </c>
      <c r="G24" s="42"/>
      <c r="H24" s="42"/>
      <c r="I24" s="42"/>
      <c r="J24" s="42"/>
      <c r="K24" s="42"/>
      <c r="L24" s="42"/>
      <c r="M24" s="42"/>
      <c r="N24" s="42">
        <v>9.4350342551928784E-2</v>
      </c>
      <c r="O24" s="42">
        <v>9.4350342551928784E-2</v>
      </c>
      <c r="P24" s="42">
        <v>9.4350342551928784E-2</v>
      </c>
      <c r="Q24" s="42">
        <v>9.4350342551928784E-2</v>
      </c>
      <c r="R24" s="42">
        <v>0.66045239786350152</v>
      </c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/>
    </row>
    <row r="25" spans="2:30" ht="15" x14ac:dyDescent="0.2">
      <c r="C25" s="34">
        <v>21.5</v>
      </c>
      <c r="D25" s="42">
        <v>1.274315437388724</v>
      </c>
      <c r="E25" s="42">
        <v>0</v>
      </c>
      <c r="F25" s="42">
        <v>0</v>
      </c>
      <c r="G25" s="42"/>
      <c r="H25" s="42"/>
      <c r="I25" s="42"/>
      <c r="J25" s="42"/>
      <c r="K25" s="42"/>
      <c r="L25" s="42"/>
      <c r="M25" s="42"/>
      <c r="N25" s="42">
        <v>0.38229463121661716</v>
      </c>
      <c r="O25" s="42">
        <v>0.38229463121661716</v>
      </c>
      <c r="P25" s="42">
        <v>0.38229463121661716</v>
      </c>
      <c r="Q25" s="42">
        <v>0.38229463121661716</v>
      </c>
      <c r="R25" s="42">
        <v>1.0194523499109791</v>
      </c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/>
    </row>
    <row r="26" spans="2:30" ht="15" x14ac:dyDescent="0.2">
      <c r="C26" s="34">
        <v>23.6</v>
      </c>
      <c r="D26" s="42">
        <v>19.960314630836795</v>
      </c>
      <c r="E26" s="42">
        <v>21.495723448593473</v>
      </c>
      <c r="F26" s="42">
        <v>13.818679359810089</v>
      </c>
      <c r="G26" s="42">
        <v>14.586383768688428</v>
      </c>
      <c r="H26" s="42">
        <v>21.495723448593473</v>
      </c>
      <c r="I26" s="42">
        <v>10.747861724296737</v>
      </c>
      <c r="J26" s="42">
        <v>0</v>
      </c>
      <c r="K26" s="42">
        <v>0</v>
      </c>
      <c r="L26" s="42">
        <v>0</v>
      </c>
      <c r="M26" s="42">
        <v>16.889496995323441</v>
      </c>
      <c r="N26" s="42">
        <v>7.6770440887833828</v>
      </c>
      <c r="O26" s="42">
        <v>7.6770440887833828</v>
      </c>
      <c r="P26" s="42">
        <v>12.283270542053412</v>
      </c>
      <c r="Q26" s="42">
        <v>4.6062264532700299</v>
      </c>
      <c r="R26" s="42">
        <v>24.566541084106824</v>
      </c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/>
    </row>
    <row r="27" spans="2:30" ht="15" x14ac:dyDescent="0.2">
      <c r="C27" s="34">
        <v>28</v>
      </c>
      <c r="D27" s="42">
        <v>4.322610288427299</v>
      </c>
      <c r="E27" s="42">
        <v>16.209788581602371</v>
      </c>
      <c r="F27" s="42">
        <v>15.129136009495548</v>
      </c>
      <c r="G27" s="42">
        <v>0.21613051442136497</v>
      </c>
      <c r="H27" s="42">
        <v>17.290441153709196</v>
      </c>
      <c r="I27" s="42">
        <v>18.371093725816021</v>
      </c>
      <c r="J27" s="42">
        <v>16.209788581602371</v>
      </c>
      <c r="K27" s="42">
        <v>17.290441153709196</v>
      </c>
      <c r="L27" s="42">
        <v>15.129136009495548</v>
      </c>
      <c r="M27" s="42">
        <v>10.806525721068247</v>
      </c>
      <c r="N27" s="42">
        <v>12.967830865281899</v>
      </c>
      <c r="O27" s="42">
        <v>8.645220576854598</v>
      </c>
      <c r="P27" s="42">
        <v>14.048483437388724</v>
      </c>
      <c r="Q27" s="42">
        <v>8.645220576854598</v>
      </c>
      <c r="R27" s="42">
        <v>8.645220576854598</v>
      </c>
      <c r="S27" s="42">
        <v>7.5645680047477741</v>
      </c>
      <c r="T27" s="42">
        <v>8.645220576854598</v>
      </c>
      <c r="U27" s="42">
        <v>7.7806985191691389</v>
      </c>
      <c r="V27" s="42">
        <v>11.887178293175074</v>
      </c>
      <c r="W27" s="42">
        <v>9.7258731489614227</v>
      </c>
      <c r="X27" s="42">
        <v>11.022656235489613</v>
      </c>
      <c r="Y27" s="42">
        <v>10.374264692225518</v>
      </c>
      <c r="Z27" s="42">
        <v>11.454917264332343</v>
      </c>
      <c r="AA27" s="42">
        <v>11.887178293175074</v>
      </c>
      <c r="AB27" s="42">
        <v>9.9420036633827884</v>
      </c>
      <c r="AC27" s="42">
        <v>7.7806985191691389</v>
      </c>
      <c r="AD27"/>
    </row>
    <row r="28" spans="2:30" ht="15" x14ac:dyDescent="0.2">
      <c r="C28" s="34">
        <v>32</v>
      </c>
      <c r="D28" s="42">
        <v>344.39735849020769</v>
      </c>
      <c r="E28" s="42">
        <v>231.48019177210679</v>
      </c>
      <c r="F28" s="42">
        <v>271.00120012344212</v>
      </c>
      <c r="G28" s="42">
        <v>296.40756263501481</v>
      </c>
      <c r="H28" s="42">
        <v>318.990995978635</v>
      </c>
      <c r="I28" s="42">
        <v>265.35534178753704</v>
      </c>
      <c r="J28" s="42">
        <v>282.29291679525221</v>
      </c>
      <c r="K28" s="42">
        <v>338.75150015430262</v>
      </c>
      <c r="L28" s="42">
        <v>344.39735849020769</v>
      </c>
      <c r="M28" s="42">
        <v>375.44957933768541</v>
      </c>
      <c r="N28" s="42">
        <v>352.86614599406528</v>
      </c>
      <c r="O28" s="42">
        <v>304.8763501388724</v>
      </c>
      <c r="P28" s="42">
        <v>310.52220847477741</v>
      </c>
      <c r="Q28" s="42">
        <v>366.98079183382788</v>
      </c>
      <c r="R28" s="42">
        <v>344.39735849020769</v>
      </c>
      <c r="S28" s="42">
        <v>410.73619393709197</v>
      </c>
      <c r="T28" s="42">
        <v>338.75150015430262</v>
      </c>
      <c r="U28" s="42">
        <v>296.40756263501481</v>
      </c>
      <c r="V28" s="42">
        <v>310.52220847477741</v>
      </c>
      <c r="W28" s="42">
        <v>268.17827095548961</v>
      </c>
      <c r="X28" s="42">
        <v>477.07502938397624</v>
      </c>
      <c r="Y28" s="42">
        <v>460.98433312664685</v>
      </c>
      <c r="Z28" s="42">
        <v>446.30510145329373</v>
      </c>
      <c r="AA28" s="42">
        <v>468.88853479691392</v>
      </c>
      <c r="AB28" s="42">
        <v>485.54381688783377</v>
      </c>
      <c r="AC28" s="42">
        <v>472.27604979845694</v>
      </c>
      <c r="AD28"/>
    </row>
    <row r="29" spans="2:30" ht="15" x14ac:dyDescent="0.2">
      <c r="C29" s="34">
        <v>43</v>
      </c>
      <c r="D29" s="42">
        <v>677.93581269080107</v>
      </c>
      <c r="E29" s="42">
        <v>575.99057769970318</v>
      </c>
      <c r="F29" s="42">
        <v>698.32485968902074</v>
      </c>
      <c r="G29" s="42">
        <v>530.11522195370912</v>
      </c>
      <c r="H29" s="42">
        <v>708.51938318813052</v>
      </c>
      <c r="I29" s="42">
        <v>713.61664493768535</v>
      </c>
      <c r="J29" s="42">
        <v>662.64402744213646</v>
      </c>
      <c r="K29" s="42">
        <v>637.15771869436196</v>
      </c>
      <c r="L29" s="42">
        <v>662.64402744213646</v>
      </c>
      <c r="M29" s="42">
        <v>611.67140994658746</v>
      </c>
      <c r="N29" s="42">
        <v>586.18510119881296</v>
      </c>
      <c r="O29" s="42">
        <v>575.99057769970318</v>
      </c>
      <c r="P29" s="42">
        <v>800.27009468011863</v>
      </c>
      <c r="Q29" s="42">
        <v>723.81116843679513</v>
      </c>
      <c r="R29" s="42">
        <v>774.78378593234413</v>
      </c>
      <c r="S29" s="42">
        <v>708.51938318813052</v>
      </c>
      <c r="T29" s="42">
        <v>632.06045694480702</v>
      </c>
      <c r="U29" s="42">
        <v>591.2823629483679</v>
      </c>
      <c r="V29" s="42">
        <v>601.47688644747768</v>
      </c>
      <c r="W29" s="42">
        <v>581.08783944925813</v>
      </c>
      <c r="X29" s="42">
        <v>697.81513351406522</v>
      </c>
      <c r="Y29" s="42">
        <v>759.49200068367941</v>
      </c>
      <c r="Z29" s="42">
        <v>749.80720335952515</v>
      </c>
      <c r="AA29" s="42">
        <v>769.68652418278919</v>
      </c>
      <c r="AB29" s="42">
        <v>805.87708260462898</v>
      </c>
      <c r="AC29" s="42">
        <v>860.92750949982189</v>
      </c>
      <c r="AD29"/>
    </row>
    <row r="30" spans="2:30" ht="15" x14ac:dyDescent="0.2">
      <c r="C30" s="34">
        <v>49</v>
      </c>
      <c r="D30" s="42">
        <v>19.856991012462906</v>
      </c>
      <c r="E30" s="42">
        <v>19.856991012462906</v>
      </c>
      <c r="F30" s="42">
        <v>23.166489514540057</v>
      </c>
      <c r="G30" s="42">
        <v>12.576094307893174</v>
      </c>
      <c r="H30" s="42">
        <v>13.237994008308604</v>
      </c>
      <c r="I30" s="42">
        <v>15.223693109554896</v>
      </c>
      <c r="J30" s="42">
        <v>6.618997004154302</v>
      </c>
      <c r="K30" s="42">
        <v>6.618997004154302</v>
      </c>
      <c r="L30" s="42">
        <v>3.309498502077151</v>
      </c>
      <c r="M30" s="42">
        <v>9.928495506231453</v>
      </c>
      <c r="N30" s="42">
        <v>0.66189970041543023</v>
      </c>
      <c r="O30" s="42">
        <v>0.66189970041543023</v>
      </c>
      <c r="P30" s="42"/>
      <c r="Q30" s="42"/>
      <c r="R30" s="42"/>
      <c r="S30" s="42"/>
      <c r="T30" s="42"/>
      <c r="U30" s="42"/>
      <c r="V30" s="42">
        <v>0</v>
      </c>
      <c r="W30" s="42"/>
      <c r="X30" s="42"/>
      <c r="Y30" s="42"/>
      <c r="Z30" s="42"/>
      <c r="AA30" s="42"/>
      <c r="AB30" s="42"/>
      <c r="AC30" s="42"/>
      <c r="AD30"/>
    </row>
    <row r="31" spans="2:30" ht="15" x14ac:dyDescent="0.2">
      <c r="C31" s="34">
        <v>50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>
        <v>365.27159643916912</v>
      </c>
      <c r="Q31" s="42">
        <v>310.13626112759641</v>
      </c>
      <c r="R31" s="42">
        <v>323.92009495548962</v>
      </c>
      <c r="S31" s="42">
        <v>368.71755489614242</v>
      </c>
      <c r="T31" s="42">
        <v>330.81201186943622</v>
      </c>
      <c r="U31" s="42">
        <v>234.32517507418396</v>
      </c>
      <c r="V31" s="42">
        <v>275.67667655786352</v>
      </c>
      <c r="W31" s="42">
        <v>261.89284272997031</v>
      </c>
      <c r="X31" s="42">
        <v>317.02817804154301</v>
      </c>
      <c r="Y31" s="42">
        <v>296.35242729970327</v>
      </c>
      <c r="Z31" s="42">
        <v>244.66305044510386</v>
      </c>
      <c r="AA31" s="42">
        <v>403.17713946587537</v>
      </c>
      <c r="AB31" s="42">
        <v>275.67667655786352</v>
      </c>
      <c r="AC31" s="42">
        <v>268.78475964391691</v>
      </c>
      <c r="AD31"/>
    </row>
    <row r="32" spans="2:30" ht="15" x14ac:dyDescent="0.2">
      <c r="C32" s="34">
        <v>55</v>
      </c>
      <c r="D32" s="42">
        <v>425.30019275964383</v>
      </c>
      <c r="E32" s="42">
        <v>441.97863169139458</v>
      </c>
      <c r="F32" s="42">
        <v>517.03160688427295</v>
      </c>
      <c r="G32" s="42">
        <v>458.65707062314533</v>
      </c>
      <c r="H32" s="42">
        <v>517.03160688427295</v>
      </c>
      <c r="I32" s="42">
        <v>500.35316795252214</v>
      </c>
      <c r="J32" s="42">
        <v>508.69238741839752</v>
      </c>
      <c r="K32" s="42">
        <v>483.67472902077139</v>
      </c>
      <c r="L32" s="42">
        <v>492.01394848664677</v>
      </c>
      <c r="M32" s="42">
        <v>446.14824142433224</v>
      </c>
      <c r="N32" s="42">
        <v>416.96097329376846</v>
      </c>
      <c r="O32" s="42">
        <v>500.35316795252214</v>
      </c>
      <c r="P32" s="42">
        <v>517.03160688427295</v>
      </c>
      <c r="Q32" s="42">
        <v>567.06692367952508</v>
      </c>
      <c r="R32" s="42">
        <v>583.74536261127582</v>
      </c>
      <c r="S32" s="42">
        <v>563.73123589317493</v>
      </c>
      <c r="T32" s="42">
        <v>575.40614314540051</v>
      </c>
      <c r="U32" s="42">
        <v>517.03160688427295</v>
      </c>
      <c r="V32" s="42">
        <v>542.04926528189901</v>
      </c>
      <c r="W32" s="42">
        <v>533.71004581602369</v>
      </c>
      <c r="X32" s="42">
        <v>542.88318722848658</v>
      </c>
      <c r="Y32" s="42">
        <v>525.37082635014826</v>
      </c>
      <c r="Z32" s="42">
        <v>517.03160688427295</v>
      </c>
      <c r="AA32" s="42">
        <v>567.90084562611264</v>
      </c>
      <c r="AB32" s="42">
        <v>500.35316795252214</v>
      </c>
      <c r="AC32" s="42">
        <v>430.30372443916906</v>
      </c>
      <c r="AD32"/>
    </row>
    <row r="33" spans="2:30" ht="15" x14ac:dyDescent="0.2">
      <c r="C33" s="34">
        <v>58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>
        <v>129.83268759169138</v>
      </c>
      <c r="Q33" s="42">
        <v>166.92774118931749</v>
      </c>
      <c r="R33" s="42">
        <v>166.92774118931749</v>
      </c>
      <c r="S33" s="42">
        <v>171.56462288902074</v>
      </c>
      <c r="T33" s="42">
        <v>139.10645099109792</v>
      </c>
      <c r="U33" s="42">
        <v>102.0113973934718</v>
      </c>
      <c r="V33" s="42">
        <v>92.737633994065277</v>
      </c>
      <c r="W33" s="42">
        <v>102.0113973934718</v>
      </c>
      <c r="X33" s="42">
        <v>92.737633994065277</v>
      </c>
      <c r="Y33" s="42">
        <v>74.19010719525221</v>
      </c>
      <c r="Z33" s="42">
        <v>78.826988894955477</v>
      </c>
      <c r="AA33" s="42">
        <v>83.463870594658744</v>
      </c>
      <c r="AB33" s="42">
        <v>18.547526798813053</v>
      </c>
      <c r="AC33" s="42">
        <v>19.474903138753707</v>
      </c>
      <c r="AD33"/>
    </row>
    <row r="34" spans="2:30" ht="15" x14ac:dyDescent="0.2">
      <c r="C34" s="34">
        <v>65</v>
      </c>
      <c r="D34" s="42">
        <v>698.84037507418384</v>
      </c>
      <c r="E34" s="42">
        <v>722.13505424332334</v>
      </c>
      <c r="F34" s="42">
        <v>698.84037507418384</v>
      </c>
      <c r="G34" s="42">
        <v>524.13028130563794</v>
      </c>
      <c r="H34" s="42">
        <v>873.55046884272986</v>
      </c>
      <c r="I34" s="42">
        <v>780.37175216617197</v>
      </c>
      <c r="J34" s="42">
        <v>733.78239382789309</v>
      </c>
      <c r="K34" s="42">
        <v>751.25340320474766</v>
      </c>
      <c r="L34" s="42">
        <v>757.07707299703259</v>
      </c>
      <c r="M34" s="42">
        <v>693.01670528189902</v>
      </c>
      <c r="N34" s="42">
        <v>663.8983563204747</v>
      </c>
      <c r="O34" s="42">
        <v>681.36936569732927</v>
      </c>
      <c r="P34" s="42">
        <v>792.01909175074172</v>
      </c>
      <c r="Q34" s="42">
        <v>698.84037507418384</v>
      </c>
      <c r="R34" s="42">
        <v>809.49010112759629</v>
      </c>
      <c r="S34" s="42">
        <v>879.37413863501467</v>
      </c>
      <c r="T34" s="42">
        <v>902.66881780415417</v>
      </c>
      <c r="U34" s="42">
        <v>931.78716676557849</v>
      </c>
      <c r="V34" s="42">
        <v>873.55046884272986</v>
      </c>
      <c r="W34" s="42">
        <v>885.19780842729961</v>
      </c>
      <c r="X34" s="42">
        <v>931.78716676557849</v>
      </c>
      <c r="Y34" s="42">
        <v>850.25578967359036</v>
      </c>
      <c r="Z34" s="42">
        <v>662.73362236201774</v>
      </c>
      <c r="AA34" s="42">
        <v>815.31377091988122</v>
      </c>
      <c r="AB34" s="42">
        <v>873.55046884272986</v>
      </c>
      <c r="AC34" s="42">
        <v>819.97270675370908</v>
      </c>
      <c r="AD34"/>
    </row>
    <row r="35" spans="2:30" ht="15" x14ac:dyDescent="0.2">
      <c r="C35" s="34">
        <v>70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>
        <v>54.032628605341245</v>
      </c>
      <c r="Q35" s="42">
        <v>67.540785756676556</v>
      </c>
      <c r="R35" s="42">
        <v>20.262235727002967</v>
      </c>
      <c r="S35" s="42">
        <v>8.1048942908011874</v>
      </c>
      <c r="T35" s="42"/>
      <c r="U35" s="42"/>
      <c r="V35" s="42">
        <v>0</v>
      </c>
      <c r="W35" s="42"/>
      <c r="X35" s="42"/>
      <c r="Y35" s="42"/>
      <c r="Z35" s="42"/>
      <c r="AA35" s="42"/>
      <c r="AB35" s="42"/>
      <c r="AC35" s="42"/>
      <c r="AD35"/>
    </row>
    <row r="36" spans="2:30" ht="15" x14ac:dyDescent="0.2">
      <c r="C36" s="34">
        <v>75</v>
      </c>
      <c r="D36" s="42">
        <v>186.08175667655786</v>
      </c>
      <c r="E36" s="42">
        <v>201.58856973293769</v>
      </c>
      <c r="F36" s="42">
        <v>240.35560237388725</v>
      </c>
      <c r="G36" s="42">
        <v>224.84878931750742</v>
      </c>
      <c r="H36" s="42">
        <v>240.35560237388725</v>
      </c>
      <c r="I36" s="42">
        <v>294.62944807121664</v>
      </c>
      <c r="J36" s="42">
        <v>403.17713946587537</v>
      </c>
      <c r="K36" s="42">
        <v>558.24527002967363</v>
      </c>
      <c r="L36" s="42">
        <v>534.98505044510387</v>
      </c>
      <c r="M36" s="42">
        <v>414.03190860534124</v>
      </c>
      <c r="N36" s="42">
        <v>325.6430741839763</v>
      </c>
      <c r="O36" s="42">
        <v>403.17713946587537</v>
      </c>
      <c r="P36" s="42">
        <v>449.69757863501485</v>
      </c>
      <c r="Q36" s="42">
        <v>418.6839525222552</v>
      </c>
      <c r="R36" s="42">
        <v>465.20439169139468</v>
      </c>
      <c r="S36" s="42">
        <v>496.21801780415433</v>
      </c>
      <c r="T36" s="42">
        <v>542.73845697329375</v>
      </c>
      <c r="U36" s="42">
        <v>589.25889614243329</v>
      </c>
      <c r="V36" s="42">
        <v>573.7520830860534</v>
      </c>
      <c r="W36" s="42">
        <v>558.24527002967363</v>
      </c>
      <c r="X36" s="42">
        <v>717.96544451038574</v>
      </c>
      <c r="Y36" s="42">
        <v>558.24527002967363</v>
      </c>
      <c r="Z36" s="42">
        <v>511.72483086053415</v>
      </c>
      <c r="AA36" s="42">
        <v>511.72483086053415</v>
      </c>
      <c r="AB36" s="42">
        <v>589.25889614243329</v>
      </c>
      <c r="AC36" s="42">
        <v>618.72184094955492</v>
      </c>
      <c r="AD36"/>
    </row>
    <row r="37" spans="2:30" ht="15" x14ac:dyDescent="0.2">
      <c r="C37" s="34">
        <v>86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>
        <v>6.1167140994658746</v>
      </c>
      <c r="O37" s="42">
        <v>8.1556187992878328</v>
      </c>
      <c r="P37" s="42">
        <v>6.1167140994658746</v>
      </c>
      <c r="Q37" s="42">
        <v>12.233428198931749</v>
      </c>
      <c r="R37" s="42">
        <v>12.233428198931749</v>
      </c>
      <c r="S37" s="42">
        <v>10.194523499109792</v>
      </c>
      <c r="T37" s="42">
        <v>12.233428198931749</v>
      </c>
      <c r="U37" s="42">
        <v>10.194523499109792</v>
      </c>
      <c r="V37" s="42">
        <v>12.233428198931749</v>
      </c>
      <c r="W37" s="42">
        <v>10.194523499109792</v>
      </c>
      <c r="X37" s="42">
        <v>26.505761097685458</v>
      </c>
      <c r="Y37" s="42">
        <v>26.505761097685458</v>
      </c>
      <c r="Z37" s="42">
        <v>36.70028459679525</v>
      </c>
      <c r="AA37" s="42">
        <v>73.400569193590499</v>
      </c>
      <c r="AB37" s="42">
        <v>16.311237598575666</v>
      </c>
      <c r="AC37" s="42">
        <v>30.583570497329372</v>
      </c>
      <c r="AD37"/>
    </row>
    <row r="38" spans="2:30" ht="15" x14ac:dyDescent="0.2">
      <c r="C38" s="34">
        <v>98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>
        <v>15.885592809970326</v>
      </c>
      <c r="O38" s="42">
        <v>13.237994008308604</v>
      </c>
      <c r="P38" s="42">
        <v>21.180790413293767</v>
      </c>
      <c r="Q38" s="42">
        <v>15.885592809970326</v>
      </c>
      <c r="R38" s="42">
        <v>2.6475988016617209</v>
      </c>
      <c r="S38" s="42">
        <v>2.6475988016617209</v>
      </c>
      <c r="T38" s="42">
        <v>5.2951976033234418</v>
      </c>
      <c r="U38" s="42">
        <v>5.2951976033234418</v>
      </c>
      <c r="V38" s="42">
        <v>5.2951976033234418</v>
      </c>
      <c r="W38" s="42">
        <v>2.6475988016617209</v>
      </c>
      <c r="X38" s="42">
        <v>13.237994008308604</v>
      </c>
      <c r="Y38" s="42">
        <v>5.2951976033234409</v>
      </c>
      <c r="Z38" s="42">
        <v>10.590395206646884</v>
      </c>
      <c r="AA38" s="42">
        <v>5.2951976033234418</v>
      </c>
      <c r="AB38" s="42">
        <v>2.6475988016617209</v>
      </c>
      <c r="AC38" s="42">
        <v>5.2951976033234418</v>
      </c>
      <c r="AD38"/>
    </row>
    <row r="39" spans="2:30" ht="15" x14ac:dyDescent="0.2">
      <c r="C39" s="34">
        <v>90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>
        <v>2.232981080118694</v>
      </c>
      <c r="U39" s="42">
        <v>2.232981080118694</v>
      </c>
      <c r="V39" s="42">
        <v>4.465962160237388</v>
      </c>
      <c r="W39" s="42">
        <v>4.465962160237388</v>
      </c>
      <c r="X39" s="42">
        <v>6.6989432403560816</v>
      </c>
      <c r="Y39" s="42">
        <v>6.6989432403560816</v>
      </c>
      <c r="Z39" s="42">
        <v>11.16490540059347</v>
      </c>
      <c r="AA39" s="42">
        <v>17.863848640949552</v>
      </c>
      <c r="AB39" s="42">
        <v>6.6989432403560816</v>
      </c>
      <c r="AC39" s="42">
        <v>2.232981080118694</v>
      </c>
      <c r="AD39"/>
    </row>
    <row r="40" spans="2:30" ht="15" x14ac:dyDescent="0.2">
      <c r="C40" s="34">
        <v>26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>
        <v>0</v>
      </c>
      <c r="W40" s="42"/>
      <c r="X40" s="42"/>
      <c r="Y40" s="42"/>
      <c r="Z40" s="42"/>
      <c r="AA40" s="42"/>
      <c r="AB40" s="42"/>
      <c r="AC40" s="42"/>
      <c r="AD40"/>
    </row>
    <row r="41" spans="2:30" ht="15" x14ac:dyDescent="0.2">
      <c r="C41" s="34">
        <v>46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>
        <v>0</v>
      </c>
      <c r="W41" s="42"/>
      <c r="X41" s="42"/>
      <c r="Y41" s="42"/>
      <c r="Z41" s="42"/>
      <c r="AA41" s="42"/>
      <c r="AB41" s="42"/>
      <c r="AC41" s="42"/>
      <c r="AD41"/>
    </row>
    <row r="42" spans="2:30" ht="15" x14ac:dyDescent="0.2">
      <c r="C42" s="34">
        <v>37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>
        <v>0</v>
      </c>
      <c r="W42" s="42"/>
      <c r="X42" s="42"/>
      <c r="Y42" s="42"/>
      <c r="Z42" s="42"/>
      <c r="AA42" s="42"/>
      <c r="AB42" s="42"/>
      <c r="AC42" s="42"/>
      <c r="AD42"/>
    </row>
    <row r="43" spans="2:30" ht="15" x14ac:dyDescent="0.2">
      <c r="C43" s="34">
        <v>39.5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>
        <v>0</v>
      </c>
      <c r="W43" s="42"/>
      <c r="X43" s="42"/>
      <c r="Y43" s="42"/>
      <c r="Z43" s="42"/>
      <c r="AA43" s="42"/>
      <c r="AB43" s="42"/>
      <c r="AC43" s="42"/>
      <c r="AD43"/>
    </row>
    <row r="44" spans="2:30" ht="15" x14ac:dyDescent="0.2">
      <c r="C44" s="34">
        <v>48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>
        <v>0</v>
      </c>
      <c r="W44" s="42"/>
      <c r="X44" s="42"/>
      <c r="Y44" s="42"/>
      <c r="Z44" s="42"/>
      <c r="AA44" s="42"/>
      <c r="AB44" s="42"/>
      <c r="AC44" s="42"/>
      <c r="AD44"/>
    </row>
    <row r="45" spans="2:30" ht="15" x14ac:dyDescent="0.2">
      <c r="B45" s="34" t="s">
        <v>85</v>
      </c>
      <c r="D45" s="42">
        <v>2378.9132304860291</v>
      </c>
      <c r="E45" s="42">
        <v>2230.7355281821247</v>
      </c>
      <c r="F45" s="42">
        <v>2477.6679490286529</v>
      </c>
      <c r="G45" s="42">
        <v>2061.5375344260174</v>
      </c>
      <c r="H45" s="42">
        <v>2710.472215878267</v>
      </c>
      <c r="I45" s="42">
        <v>2598.6690034748008</v>
      </c>
      <c r="J45" s="42">
        <v>2613.4176505353112</v>
      </c>
      <c r="K45" s="42">
        <v>2792.9920592617209</v>
      </c>
      <c r="L45" s="42">
        <v>2809.5560923726998</v>
      </c>
      <c r="M45" s="42">
        <v>2577.9423628184686</v>
      </c>
      <c r="N45" s="42">
        <v>2389.3393775287827</v>
      </c>
      <c r="O45" s="42">
        <v>2504.6210231017208</v>
      </c>
      <c r="P45" s="42">
        <v>3472.7833965270979</v>
      </c>
      <c r="Q45" s="42">
        <v>3361.8351126329731</v>
      </c>
      <c r="R45" s="42">
        <v>3538.5037651339585</v>
      </c>
      <c r="S45" s="42">
        <v>3627.3727318390506</v>
      </c>
      <c r="T45" s="42">
        <v>3489.9506653417207</v>
      </c>
      <c r="U45" s="42">
        <v>3287.6075685450442</v>
      </c>
      <c r="V45" s="42">
        <v>3303.6469889405339</v>
      </c>
      <c r="W45" s="42">
        <v>3217.3574324111573</v>
      </c>
      <c r="X45" s="42">
        <v>3834.7571280199404</v>
      </c>
      <c r="Y45" s="42">
        <v>3573.7649209922843</v>
      </c>
      <c r="Z45" s="42">
        <v>3281.0029067280707</v>
      </c>
      <c r="AA45" s="42">
        <v>3728.6023101778032</v>
      </c>
      <c r="AB45" s="42">
        <v>3584.4074190908013</v>
      </c>
      <c r="AC45" s="42">
        <v>3536.353941923323</v>
      </c>
      <c r="AD45"/>
    </row>
    <row r="46" spans="2:30" ht="15" x14ac:dyDescent="0.2">
      <c r="B46" s="34" t="s">
        <v>2</v>
      </c>
      <c r="C46" s="34">
        <v>23.8</v>
      </c>
      <c r="D46" s="42">
        <v>7.8077148334718114</v>
      </c>
      <c r="E46" s="42">
        <v>18.738515600332349</v>
      </c>
      <c r="F46" s="42">
        <v>42.161660100747781</v>
      </c>
      <c r="G46" s="42">
        <v>17.176972633637984</v>
      </c>
      <c r="H46" s="42">
        <v>46.846289000830865</v>
      </c>
      <c r="I46" s="42">
        <v>54.654003834302678</v>
      </c>
      <c r="J46" s="42">
        <v>49.969374934219594</v>
      </c>
      <c r="K46" s="42">
        <v>49.969374934219594</v>
      </c>
      <c r="L46" s="42">
        <v>46.846289000830865</v>
      </c>
      <c r="M46" s="42">
        <v>46.846289000830865</v>
      </c>
      <c r="N46" s="42">
        <v>46.846289000830865</v>
      </c>
      <c r="O46" s="42">
        <v>38.257802684011878</v>
      </c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/>
    </row>
    <row r="47" spans="2:30" ht="15" x14ac:dyDescent="0.2">
      <c r="C47" s="34">
        <v>39</v>
      </c>
      <c r="D47" s="42">
        <v>109.01909851157269</v>
      </c>
      <c r="E47" s="42">
        <v>113.2121407620178</v>
      </c>
      <c r="F47" s="42">
        <v>134.17735201424333</v>
      </c>
      <c r="G47" s="42">
        <v>58.70259150623145</v>
      </c>
      <c r="H47" s="42">
        <v>205.45907027181008</v>
      </c>
      <c r="I47" s="42">
        <v>134.17735201424333</v>
      </c>
      <c r="J47" s="42">
        <v>142.56343651513353</v>
      </c>
      <c r="K47" s="42">
        <v>146.75647876557863</v>
      </c>
      <c r="L47" s="42">
        <v>167.72169001780415</v>
      </c>
      <c r="M47" s="42">
        <v>155.14256326646884</v>
      </c>
      <c r="N47" s="42">
        <v>157.23908439169139</v>
      </c>
      <c r="O47" s="42">
        <v>167.72169001780415</v>
      </c>
      <c r="P47" s="42">
        <v>167.72169001780415</v>
      </c>
      <c r="Q47" s="42">
        <v>150.94952101602374</v>
      </c>
      <c r="R47" s="42">
        <v>150.94952101602374</v>
      </c>
      <c r="S47" s="42">
        <v>128.30709286362017</v>
      </c>
      <c r="T47" s="42">
        <v>121.598225262908</v>
      </c>
      <c r="U47" s="42">
        <v>75.474760508011869</v>
      </c>
      <c r="V47" s="42">
        <v>134.17735201424333</v>
      </c>
      <c r="W47" s="42">
        <v>88.053887259347178</v>
      </c>
      <c r="X47" s="42">
        <v>180.72012099418396</v>
      </c>
      <c r="Y47" s="42">
        <v>159.33560551691394</v>
      </c>
      <c r="Z47" s="42">
        <v>142.56343651513353</v>
      </c>
      <c r="AA47" s="42">
        <v>171.91473226824925</v>
      </c>
      <c r="AB47" s="42">
        <v>134.17735201424333</v>
      </c>
      <c r="AC47" s="42">
        <v>117.82448723750741</v>
      </c>
      <c r="AD47"/>
    </row>
    <row r="48" spans="2:30" ht="15" x14ac:dyDescent="0.2">
      <c r="C48" s="34">
        <v>43</v>
      </c>
      <c r="D48" s="42">
        <v>76.458926243323432</v>
      </c>
      <c r="E48" s="42">
        <v>101.94523499109791</v>
      </c>
      <c r="F48" s="42">
        <v>127.43154373887239</v>
      </c>
      <c r="G48" s="42">
        <v>81.556187992878336</v>
      </c>
      <c r="H48" s="42">
        <v>173.30689948486645</v>
      </c>
      <c r="I48" s="42">
        <v>152.91785248664686</v>
      </c>
      <c r="J48" s="42">
        <v>112.1397584902077</v>
      </c>
      <c r="K48" s="42">
        <v>119.78565111454004</v>
      </c>
      <c r="L48" s="42">
        <v>152.91785248664686</v>
      </c>
      <c r="M48" s="42">
        <v>150.36922161186942</v>
      </c>
      <c r="N48" s="42">
        <v>151.3886739617804</v>
      </c>
      <c r="O48" s="42">
        <v>122.33428198931749</v>
      </c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/>
    </row>
    <row r="49" spans="2:30" ht="15" x14ac:dyDescent="0.2">
      <c r="C49" s="34">
        <v>50</v>
      </c>
      <c r="D49" s="42">
        <v>258.44688427299701</v>
      </c>
      <c r="E49" s="42">
        <v>248.10900890207714</v>
      </c>
      <c r="F49" s="42">
        <v>385.94734718100892</v>
      </c>
      <c r="G49" s="42">
        <v>206.75750741839764</v>
      </c>
      <c r="H49" s="42">
        <v>241.21709198813056</v>
      </c>
      <c r="I49" s="42">
        <v>516.89376854599402</v>
      </c>
      <c r="J49" s="42">
        <v>389.39330563798217</v>
      </c>
      <c r="K49" s="42">
        <v>375.60947181008902</v>
      </c>
      <c r="L49" s="42">
        <v>344.59584569732937</v>
      </c>
      <c r="M49" s="42">
        <v>344.59584569732937</v>
      </c>
      <c r="N49" s="42">
        <v>310.13626112759641</v>
      </c>
      <c r="O49" s="42">
        <v>296.35242729970327</v>
      </c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/>
    </row>
    <row r="50" spans="2:30" ht="15" x14ac:dyDescent="0.2">
      <c r="C50" s="34">
        <v>55</v>
      </c>
      <c r="D50" s="42">
        <v>91.731414124629069</v>
      </c>
      <c r="E50" s="42">
        <v>125.08829198813054</v>
      </c>
      <c r="F50" s="42">
        <v>125.08829198813054</v>
      </c>
      <c r="G50" s="42">
        <v>108.4098530563798</v>
      </c>
      <c r="H50" s="42">
        <v>83.392194658753695</v>
      </c>
      <c r="I50" s="42">
        <v>62.544145994065268</v>
      </c>
      <c r="J50" s="42">
        <v>33.356877863501481</v>
      </c>
      <c r="K50" s="42">
        <v>37.526487596439161</v>
      </c>
      <c r="L50" s="42">
        <v>25.017658397626107</v>
      </c>
      <c r="M50" s="42">
        <v>41.696097329376848</v>
      </c>
      <c r="N50" s="42">
        <v>25.017658397626107</v>
      </c>
      <c r="O50" s="42">
        <v>41.696097329376848</v>
      </c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/>
    </row>
    <row r="51" spans="2:30" ht="15" x14ac:dyDescent="0.2">
      <c r="C51" s="34">
        <v>58</v>
      </c>
      <c r="D51" s="42">
        <v>46.368816997032638</v>
      </c>
      <c r="E51" s="42">
        <v>74.19010719525221</v>
      </c>
      <c r="F51" s="42">
        <v>111.28516079287833</v>
      </c>
      <c r="G51" s="42">
        <v>64.916343795845691</v>
      </c>
      <c r="H51" s="42">
        <v>74.19010719525221</v>
      </c>
      <c r="I51" s="42">
        <v>102.0113973934718</v>
      </c>
      <c r="J51" s="42">
        <v>111.28516079287833</v>
      </c>
      <c r="K51" s="42">
        <v>139.10645099109792</v>
      </c>
      <c r="L51" s="42">
        <v>166.92774118931749</v>
      </c>
      <c r="M51" s="42">
        <v>185.47526798813055</v>
      </c>
      <c r="N51" s="42">
        <v>148.38021439050442</v>
      </c>
      <c r="O51" s="42">
        <v>111.28516079287833</v>
      </c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/>
    </row>
    <row r="52" spans="2:30" ht="15" x14ac:dyDescent="0.2">
      <c r="C52" s="34">
        <v>65</v>
      </c>
      <c r="D52" s="42">
        <v>29.118348961424328</v>
      </c>
      <c r="E52" s="42">
        <v>23.294679169139464</v>
      </c>
      <c r="F52" s="42">
        <v>26.788881044510383</v>
      </c>
      <c r="G52" s="42">
        <v>11.647339584569732</v>
      </c>
      <c r="H52" s="42">
        <v>0</v>
      </c>
      <c r="I52" s="42">
        <v>0</v>
      </c>
      <c r="J52" s="42">
        <v>1.1647339584569731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/>
    </row>
    <row r="53" spans="2:30" ht="15" x14ac:dyDescent="0.2">
      <c r="C53" s="34">
        <v>70</v>
      </c>
      <c r="D53" s="42">
        <v>47.278550029673589</v>
      </c>
      <c r="E53" s="42">
        <v>40.524471454005933</v>
      </c>
      <c r="F53" s="42">
        <v>49.980181459940653</v>
      </c>
      <c r="G53" s="42">
        <v>27.016314302670622</v>
      </c>
      <c r="H53" s="42">
        <v>29.717945732937686</v>
      </c>
      <c r="I53" s="42">
        <v>54.032628605341245</v>
      </c>
      <c r="J53" s="42">
        <v>67.540785756676556</v>
      </c>
      <c r="K53" s="42">
        <v>74.294864332344218</v>
      </c>
      <c r="L53" s="42">
        <v>94.557100059347178</v>
      </c>
      <c r="M53" s="42">
        <v>87.80302148367953</v>
      </c>
      <c r="N53" s="42">
        <v>60.7867071810089</v>
      </c>
      <c r="O53" s="42">
        <v>67.540785756676556</v>
      </c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/>
    </row>
    <row r="54" spans="2:30" ht="15" x14ac:dyDescent="0.2">
      <c r="B54" s="34" t="s">
        <v>86</v>
      </c>
      <c r="D54" s="42">
        <v>666.22975397412461</v>
      </c>
      <c r="E54" s="42">
        <v>745.10245006205344</v>
      </c>
      <c r="F54" s="42">
        <v>1002.8604183203323</v>
      </c>
      <c r="G54" s="42">
        <v>576.18311029061124</v>
      </c>
      <c r="H54" s="42">
        <v>854.12959833258162</v>
      </c>
      <c r="I54" s="42">
        <v>1077.2311488740652</v>
      </c>
      <c r="J54" s="42">
        <v>907.4134339490563</v>
      </c>
      <c r="K54" s="42">
        <v>943.04877954430856</v>
      </c>
      <c r="L54" s="42">
        <v>998.58417684890185</v>
      </c>
      <c r="M54" s="42">
        <v>1011.9283063776854</v>
      </c>
      <c r="N54" s="42">
        <v>899.79488845103845</v>
      </c>
      <c r="O54" s="42">
        <v>845.18824586976837</v>
      </c>
      <c r="P54" s="42">
        <v>167.72169001780415</v>
      </c>
      <c r="Q54" s="42">
        <v>150.94952101602374</v>
      </c>
      <c r="R54" s="42">
        <v>150.94952101602374</v>
      </c>
      <c r="S54" s="42">
        <v>128.30709286362017</v>
      </c>
      <c r="T54" s="42">
        <v>121.598225262908</v>
      </c>
      <c r="U54" s="42">
        <v>75.474760508011869</v>
      </c>
      <c r="V54" s="42">
        <v>134.17735201424333</v>
      </c>
      <c r="W54" s="42">
        <v>88.053887259347178</v>
      </c>
      <c r="X54" s="42">
        <v>180.72012099418396</v>
      </c>
      <c r="Y54" s="42">
        <v>159.33560551691394</v>
      </c>
      <c r="Z54" s="42">
        <v>142.56343651513353</v>
      </c>
      <c r="AA54" s="42">
        <v>171.91473226824925</v>
      </c>
      <c r="AB54" s="42">
        <v>134.17735201424333</v>
      </c>
      <c r="AC54" s="42">
        <v>117.82448723750741</v>
      </c>
      <c r="AD54"/>
    </row>
    <row r="55" spans="2:30" ht="15" x14ac:dyDescent="0.2">
      <c r="B55" s="34" t="s">
        <v>4</v>
      </c>
      <c r="C55" s="34">
        <v>32</v>
      </c>
      <c r="D55" s="42">
        <v>64.927370862908006</v>
      </c>
      <c r="E55" s="42">
        <v>50.812725023145397</v>
      </c>
      <c r="F55" s="42">
        <v>42.343937519287827</v>
      </c>
      <c r="G55" s="42">
        <v>62.104441694955483</v>
      </c>
      <c r="H55" s="42">
        <v>70.573229198813053</v>
      </c>
      <c r="I55" s="42">
        <v>64.927370862908006</v>
      </c>
      <c r="J55" s="42">
        <v>56.458583359050444</v>
      </c>
      <c r="K55" s="42">
        <v>70.573229198813053</v>
      </c>
      <c r="L55" s="42">
        <v>62.104441694955483</v>
      </c>
      <c r="M55" s="42">
        <v>70.573229198813053</v>
      </c>
      <c r="N55" s="42">
        <v>64.927370862908006</v>
      </c>
      <c r="O55" s="42">
        <v>70.573229198813053</v>
      </c>
      <c r="P55" s="42">
        <v>62.104441694955483</v>
      </c>
      <c r="Q55" s="42">
        <v>63.515906278931745</v>
      </c>
      <c r="R55" s="42">
        <v>62.104441694955483</v>
      </c>
      <c r="S55" s="42">
        <v>14.114645839762611</v>
      </c>
      <c r="T55" s="42">
        <v>62.104441694955483</v>
      </c>
      <c r="U55" s="42">
        <v>59.28151252700296</v>
      </c>
      <c r="V55" s="42">
        <v>62.104441694955483</v>
      </c>
      <c r="W55" s="42">
        <v>64.927370862908006</v>
      </c>
      <c r="X55" s="42">
        <v>73.396158366765576</v>
      </c>
      <c r="Y55" s="42">
        <v>99.084813795133527</v>
      </c>
      <c r="Z55" s="42">
        <v>90.616026291275958</v>
      </c>
      <c r="AA55" s="42">
        <v>115.7400958860534</v>
      </c>
      <c r="AB55" s="42">
        <v>127.31410547465875</v>
      </c>
      <c r="AC55" s="42">
        <v>113.48175255169139</v>
      </c>
      <c r="AD55"/>
    </row>
    <row r="56" spans="2:30" ht="15" x14ac:dyDescent="0.2">
      <c r="C56" s="34">
        <v>50</v>
      </c>
      <c r="D56" s="42">
        <v>344.59584569732937</v>
      </c>
      <c r="E56" s="42">
        <v>330.81201186943622</v>
      </c>
      <c r="F56" s="42">
        <v>330.81201186943622</v>
      </c>
      <c r="G56" s="42">
        <v>365.27159643916912</v>
      </c>
      <c r="H56" s="42">
        <v>434.19076557863502</v>
      </c>
      <c r="I56" s="42">
        <v>461.75843323442137</v>
      </c>
      <c r="J56" s="42">
        <v>434.19076557863502</v>
      </c>
      <c r="K56" s="42">
        <v>454.86651632047477</v>
      </c>
      <c r="L56" s="42">
        <v>468.65035014836792</v>
      </c>
      <c r="M56" s="42">
        <v>482.43418397626112</v>
      </c>
      <c r="N56" s="42">
        <v>496.21801780415427</v>
      </c>
      <c r="O56" s="42">
        <v>496.21801780415427</v>
      </c>
      <c r="P56" s="42">
        <v>516.89376854599402</v>
      </c>
      <c r="Q56" s="42">
        <v>468.65035014836792</v>
      </c>
      <c r="R56" s="42">
        <v>516.2045768545994</v>
      </c>
      <c r="S56" s="42">
        <v>482.43418397626112</v>
      </c>
      <c r="T56" s="42">
        <v>510.00185163204748</v>
      </c>
      <c r="U56" s="42">
        <v>496.21801780415427</v>
      </c>
      <c r="V56" s="42">
        <v>420.40693175074182</v>
      </c>
      <c r="W56" s="42">
        <v>441.08268249258163</v>
      </c>
      <c r="X56" s="42">
        <v>428.67723204747773</v>
      </c>
      <c r="Y56" s="42">
        <v>496.21801780415427</v>
      </c>
      <c r="Z56" s="42">
        <v>434.19076557863502</v>
      </c>
      <c r="AA56" s="42">
        <v>537.56951928783383</v>
      </c>
      <c r="AB56" s="42">
        <v>585.81293768545993</v>
      </c>
      <c r="AC56" s="42">
        <v>552.04254480712166</v>
      </c>
      <c r="AD56"/>
    </row>
    <row r="57" spans="2:30" ht="15" x14ac:dyDescent="0.2">
      <c r="C57" s="34">
        <v>58</v>
      </c>
      <c r="D57" s="42">
        <v>139.10645099109792</v>
      </c>
      <c r="E57" s="42">
        <v>120.55892419228485</v>
      </c>
      <c r="F57" s="42">
        <v>125.19580589198812</v>
      </c>
      <c r="G57" s="42">
        <v>125.19580589198812</v>
      </c>
      <c r="H57" s="42">
        <v>143.74333269080117</v>
      </c>
      <c r="I57" s="42">
        <v>185.47526798813055</v>
      </c>
      <c r="J57" s="42">
        <v>194.74903138753706</v>
      </c>
      <c r="K57" s="42">
        <v>166.92774118931749</v>
      </c>
      <c r="L57" s="42">
        <v>194.74903138753706</v>
      </c>
      <c r="M57" s="42">
        <v>194.74903138753706</v>
      </c>
      <c r="N57" s="42">
        <v>185.47526798813055</v>
      </c>
      <c r="O57" s="42">
        <v>190.11214968783381</v>
      </c>
      <c r="P57" s="42">
        <v>157.65397778991095</v>
      </c>
      <c r="Q57" s="42">
        <v>185.47526798813055</v>
      </c>
      <c r="R57" s="42">
        <v>186.4026443280712</v>
      </c>
      <c r="S57" s="42">
        <v>190.11214968783381</v>
      </c>
      <c r="T57" s="42">
        <v>199.38591308724034</v>
      </c>
      <c r="U57" s="42">
        <v>185.47526798813055</v>
      </c>
      <c r="V57" s="42">
        <v>166.92774118931749</v>
      </c>
      <c r="W57" s="42">
        <v>171.56462288902074</v>
      </c>
      <c r="X57" s="42">
        <v>152.08971975026705</v>
      </c>
      <c r="Y57" s="42">
        <v>129.83268759169138</v>
      </c>
      <c r="Z57" s="42">
        <v>102.0113973934718</v>
      </c>
      <c r="AA57" s="42">
        <v>111.28516079287833</v>
      </c>
      <c r="AB57" s="42">
        <v>129.83268759169138</v>
      </c>
      <c r="AC57" s="42">
        <v>124.26842955204746</v>
      </c>
      <c r="AD57"/>
    </row>
    <row r="58" spans="2:30" ht="15" x14ac:dyDescent="0.2">
      <c r="C58" s="34">
        <v>70</v>
      </c>
      <c r="D58" s="42">
        <v>94.557100059347178</v>
      </c>
      <c r="E58" s="42">
        <v>87.80302148367953</v>
      </c>
      <c r="F58" s="42">
        <v>81.048942908011867</v>
      </c>
      <c r="G58" s="42">
        <v>67.540785756676556</v>
      </c>
      <c r="H58" s="42">
        <v>81.048942908011867</v>
      </c>
      <c r="I58" s="42">
        <v>121.5734143620178</v>
      </c>
      <c r="J58" s="42">
        <v>121.5734143620178</v>
      </c>
      <c r="K58" s="42">
        <v>162.09788581602373</v>
      </c>
      <c r="L58" s="42">
        <v>128.32749293768546</v>
      </c>
      <c r="M58" s="42">
        <v>101.31117863501484</v>
      </c>
      <c r="N58" s="42">
        <v>94.557100059347178</v>
      </c>
      <c r="O58" s="42">
        <v>108.06525721068249</v>
      </c>
      <c r="P58" s="42">
        <v>94.557100059347178</v>
      </c>
      <c r="Q58" s="42">
        <v>81.048942908011867</v>
      </c>
      <c r="R58" s="42">
        <v>89.153837198813051</v>
      </c>
      <c r="S58" s="42">
        <v>87.80302148367953</v>
      </c>
      <c r="T58" s="42">
        <v>94.557100059347178</v>
      </c>
      <c r="U58" s="42">
        <v>94.557100059347178</v>
      </c>
      <c r="V58" s="42">
        <v>108.06525721068249</v>
      </c>
      <c r="W58" s="42">
        <v>121.5734143620178</v>
      </c>
      <c r="X58" s="42">
        <v>108.06525721068249</v>
      </c>
      <c r="Y58" s="42">
        <v>101.31117863501484</v>
      </c>
      <c r="Z58" s="42">
        <v>81.048942908011867</v>
      </c>
      <c r="AA58" s="42">
        <v>128.32749293768546</v>
      </c>
      <c r="AB58" s="42">
        <v>87.80302148367953</v>
      </c>
      <c r="AC58" s="42">
        <v>81.048942908011867</v>
      </c>
      <c r="AD58"/>
    </row>
    <row r="59" spans="2:30" ht="15" x14ac:dyDescent="0.2">
      <c r="B59" s="34" t="s">
        <v>87</v>
      </c>
      <c r="D59" s="42">
        <v>643.18676761068241</v>
      </c>
      <c r="E59" s="42">
        <v>589.98668256854603</v>
      </c>
      <c r="F59" s="42">
        <v>579.40069818872405</v>
      </c>
      <c r="G59" s="42">
        <v>620.11262978278921</v>
      </c>
      <c r="H59" s="42">
        <v>729.55627037626118</v>
      </c>
      <c r="I59" s="42">
        <v>833.73448644747782</v>
      </c>
      <c r="J59" s="42">
        <v>806.97179468724039</v>
      </c>
      <c r="K59" s="42">
        <v>854.46537252462917</v>
      </c>
      <c r="L59" s="42">
        <v>853.83131616854598</v>
      </c>
      <c r="M59" s="42">
        <v>849.06762319762606</v>
      </c>
      <c r="N59" s="42">
        <v>841.17775671454001</v>
      </c>
      <c r="O59" s="42">
        <v>864.96865390148366</v>
      </c>
      <c r="P59" s="42">
        <v>831.20928809020756</v>
      </c>
      <c r="Q59" s="42">
        <v>798.69046732344214</v>
      </c>
      <c r="R59" s="42">
        <v>853.86550007643905</v>
      </c>
      <c r="S59" s="42">
        <v>774.46400098753713</v>
      </c>
      <c r="T59" s="42">
        <v>866.04930647359049</v>
      </c>
      <c r="U59" s="42">
        <v>835.53189837863488</v>
      </c>
      <c r="V59" s="42">
        <v>757.50437184569728</v>
      </c>
      <c r="W59" s="42">
        <v>799.14809060652817</v>
      </c>
      <c r="X59" s="42">
        <v>762.22836737519287</v>
      </c>
      <c r="Y59" s="42">
        <v>826.44669782599408</v>
      </c>
      <c r="Z59" s="42">
        <v>707.8671321713947</v>
      </c>
      <c r="AA59" s="42">
        <v>892.9222689044509</v>
      </c>
      <c r="AB59" s="42">
        <v>930.76275223548964</v>
      </c>
      <c r="AC59" s="42">
        <v>870.84166981887245</v>
      </c>
      <c r="AD59"/>
    </row>
    <row r="60" spans="2:30" ht="15" x14ac:dyDescent="0.2">
      <c r="B60" s="34" t="s">
        <v>3</v>
      </c>
      <c r="C60" s="34">
        <v>21.5</v>
      </c>
      <c r="D60" s="42">
        <v>1.274315437388724</v>
      </c>
      <c r="E60" s="42">
        <v>1.7840416123442133</v>
      </c>
      <c r="F60" s="42">
        <v>1.274315437388724</v>
      </c>
      <c r="G60" s="42">
        <v>0</v>
      </c>
      <c r="H60" s="42">
        <v>0</v>
      </c>
      <c r="I60" s="42">
        <v>0.76458926243323433</v>
      </c>
      <c r="J60" s="42">
        <v>0</v>
      </c>
      <c r="K60" s="42">
        <v>1.0194523499109791</v>
      </c>
      <c r="L60" s="42">
        <v>0.12743154373887239</v>
      </c>
      <c r="M60" s="42">
        <v>0.12743154373887239</v>
      </c>
      <c r="N60" s="42">
        <v>0</v>
      </c>
      <c r="O60" s="42"/>
      <c r="P60" s="42">
        <v>0.76458926243323433</v>
      </c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/>
    </row>
    <row r="61" spans="2:30" ht="15" x14ac:dyDescent="0.2">
      <c r="C61" s="34">
        <v>28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>
        <v>0</v>
      </c>
      <c r="W61" s="42"/>
      <c r="X61" s="42"/>
      <c r="Y61" s="42"/>
      <c r="Z61" s="42"/>
      <c r="AA61" s="42"/>
      <c r="AB61" s="42"/>
      <c r="AC61" s="42"/>
      <c r="AD61"/>
    </row>
    <row r="62" spans="2:30" ht="15" x14ac:dyDescent="0.2">
      <c r="C62" s="34">
        <v>32</v>
      </c>
      <c r="D62" s="42">
        <v>467.19477729614238</v>
      </c>
      <c r="E62" s="42">
        <v>422.87478935928777</v>
      </c>
      <c r="F62" s="42">
        <v>405.09033560118689</v>
      </c>
      <c r="G62" s="42">
        <v>311.08679430836793</v>
      </c>
      <c r="H62" s="42">
        <v>345.24423724059346</v>
      </c>
      <c r="I62" s="42">
        <v>302.05342097091983</v>
      </c>
      <c r="J62" s="42">
        <v>310.52220847477741</v>
      </c>
      <c r="K62" s="42">
        <v>290.76170429910979</v>
      </c>
      <c r="L62" s="42">
        <v>294.99609805103853</v>
      </c>
      <c r="M62" s="42">
        <v>261.68553386919876</v>
      </c>
      <c r="N62" s="42">
        <v>266.48451345471807</v>
      </c>
      <c r="O62" s="42">
        <v>257.45114011727003</v>
      </c>
      <c r="P62" s="42">
        <v>349.196338075727</v>
      </c>
      <c r="Q62" s="42">
        <v>318.70870306183974</v>
      </c>
      <c r="R62" s="42">
        <v>350.04321682611271</v>
      </c>
      <c r="S62" s="42">
        <v>293.30234055026705</v>
      </c>
      <c r="T62" s="42">
        <v>302.33571388771509</v>
      </c>
      <c r="U62" s="42">
        <v>354.2776105780415</v>
      </c>
      <c r="V62" s="42">
        <v>350.89009557649848</v>
      </c>
      <c r="W62" s="42">
        <v>257.16884720047477</v>
      </c>
      <c r="X62" s="42">
        <v>254.06362511572698</v>
      </c>
      <c r="Y62" s="42">
        <v>326.89519764890207</v>
      </c>
      <c r="Z62" s="42">
        <v>342.13901515584564</v>
      </c>
      <c r="AA62" s="42">
        <v>409.60702226991094</v>
      </c>
      <c r="AB62" s="42">
        <v>407.91326476913946</v>
      </c>
      <c r="AC62" s="42">
        <v>453.64471728997029</v>
      </c>
      <c r="AD62"/>
    </row>
    <row r="63" spans="2:30" ht="15" x14ac:dyDescent="0.2">
      <c r="C63" s="34">
        <v>43</v>
      </c>
      <c r="D63" s="42">
        <v>300.73844322373884</v>
      </c>
      <c r="E63" s="42">
        <v>278.31049152569727</v>
      </c>
      <c r="F63" s="42">
        <v>225.29896933032637</v>
      </c>
      <c r="G63" s="42">
        <v>249.76582572818987</v>
      </c>
      <c r="H63" s="42">
        <v>214.59471965626111</v>
      </c>
      <c r="I63" s="42">
        <v>219.18225523086051</v>
      </c>
      <c r="J63" s="42">
        <v>216.63362435608306</v>
      </c>
      <c r="K63" s="42">
        <v>219.18225523086051</v>
      </c>
      <c r="L63" s="42">
        <v>173.30689948486645</v>
      </c>
      <c r="M63" s="42">
        <v>205.41964850706228</v>
      </c>
      <c r="N63" s="42">
        <v>168.20963773531156</v>
      </c>
      <c r="O63" s="42">
        <v>158.52484041115724</v>
      </c>
      <c r="P63" s="42">
        <v>132.52880548842728</v>
      </c>
      <c r="Q63" s="42">
        <v>106.02304439074183</v>
      </c>
      <c r="R63" s="42">
        <v>114.68838936498516</v>
      </c>
      <c r="S63" s="42">
        <v>113.66893701507416</v>
      </c>
      <c r="T63" s="42">
        <v>124.88291286409493</v>
      </c>
      <c r="U63" s="42">
        <v>117.2370202397626</v>
      </c>
      <c r="V63" s="42">
        <v>114.68838936498516</v>
      </c>
      <c r="W63" s="42">
        <v>105.51331821578634</v>
      </c>
      <c r="X63" s="42">
        <v>137.62606723798217</v>
      </c>
      <c r="Y63" s="42">
        <v>102.96468734100888</v>
      </c>
      <c r="Z63" s="42">
        <v>132.52880548842728</v>
      </c>
      <c r="AA63" s="42">
        <v>112.64948466516319</v>
      </c>
      <c r="AB63" s="42">
        <v>147.82059073709198</v>
      </c>
      <c r="AC63" s="42">
        <v>174.32635183477743</v>
      </c>
      <c r="AD63"/>
    </row>
    <row r="64" spans="2:30" ht="15" x14ac:dyDescent="0.2">
      <c r="C64" s="34">
        <v>49</v>
      </c>
      <c r="D64" s="42">
        <v>36.404483522848665</v>
      </c>
      <c r="E64" s="42">
        <v>25.152188615786347</v>
      </c>
      <c r="F64" s="42">
        <v>19.856991012462906</v>
      </c>
      <c r="G64" s="42">
        <v>16.547492510385755</v>
      </c>
      <c r="H64" s="42">
        <v>13.237994008308604</v>
      </c>
      <c r="I64" s="42">
        <v>16.547492510385755</v>
      </c>
      <c r="J64" s="42">
        <v>5.2951976033234418</v>
      </c>
      <c r="K64" s="42">
        <v>6.618997004154302</v>
      </c>
      <c r="L64" s="42">
        <v>6.618997004154302</v>
      </c>
      <c r="M64" s="42">
        <v>9.2665958058160225</v>
      </c>
      <c r="N64" s="42">
        <v>3.309498502077151</v>
      </c>
      <c r="O64" s="42">
        <v>2.6475988016617209</v>
      </c>
      <c r="P64" s="42">
        <v>0.66189970041543023</v>
      </c>
      <c r="Q64" s="42"/>
      <c r="R64" s="42"/>
      <c r="S64" s="42"/>
      <c r="T64" s="42"/>
      <c r="U64" s="42"/>
      <c r="V64" s="42">
        <v>0</v>
      </c>
      <c r="W64" s="42"/>
      <c r="X64" s="42"/>
      <c r="Y64" s="42"/>
      <c r="Z64" s="42"/>
      <c r="AA64" s="42"/>
      <c r="AB64" s="42"/>
      <c r="AC64" s="42"/>
      <c r="AD64"/>
    </row>
    <row r="65" spans="2:30" ht="15" x14ac:dyDescent="0.2">
      <c r="C65" s="34">
        <v>55</v>
      </c>
      <c r="D65" s="42">
        <v>744.69229830267045</v>
      </c>
      <c r="E65" s="42">
        <v>892.29648284866448</v>
      </c>
      <c r="F65" s="42">
        <v>932.32473628486628</v>
      </c>
      <c r="G65" s="42">
        <v>1137.4695351454004</v>
      </c>
      <c r="H65" s="42">
        <v>917.31414124629066</v>
      </c>
      <c r="I65" s="42">
        <v>900.63570231453991</v>
      </c>
      <c r="J65" s="42">
        <v>975.68867750741822</v>
      </c>
      <c r="K65" s="42">
        <v>929.82297044510369</v>
      </c>
      <c r="L65" s="42">
        <v>942.33179964391672</v>
      </c>
      <c r="M65" s="42">
        <v>922.31767292581583</v>
      </c>
      <c r="N65" s="42">
        <v>881.45549754302658</v>
      </c>
      <c r="O65" s="42">
        <v>889.7947170089019</v>
      </c>
      <c r="P65" s="42">
        <v>973.18691166765564</v>
      </c>
      <c r="Q65" s="42">
        <v>883.95726338278917</v>
      </c>
      <c r="R65" s="42">
        <v>1059.080872166172</v>
      </c>
      <c r="S65" s="42">
        <v>818.07742960237374</v>
      </c>
      <c r="T65" s="42">
        <v>962.34592636201762</v>
      </c>
      <c r="U65" s="42">
        <v>1032.3953698753708</v>
      </c>
      <c r="V65" s="42">
        <v>1006.5437895311571</v>
      </c>
      <c r="W65" s="42">
        <v>1058.2469502195843</v>
      </c>
      <c r="X65" s="42">
        <v>954.84062884272976</v>
      </c>
      <c r="Y65" s="42">
        <v>868.11274639762598</v>
      </c>
      <c r="Z65" s="42">
        <v>822.24703933531146</v>
      </c>
      <c r="AA65" s="42">
        <v>929.82297044510369</v>
      </c>
      <c r="AB65" s="42">
        <v>954.84062884272976</v>
      </c>
      <c r="AC65" s="42">
        <v>815.57566376261116</v>
      </c>
      <c r="AD65"/>
    </row>
    <row r="66" spans="2:30" ht="15" x14ac:dyDescent="0.2">
      <c r="C66" s="34">
        <v>65</v>
      </c>
      <c r="D66" s="42">
        <v>515.97714359643908</v>
      </c>
      <c r="E66" s="42">
        <v>467.05831734124621</v>
      </c>
      <c r="F66" s="42">
        <v>583.53171318694353</v>
      </c>
      <c r="G66" s="42">
        <v>525.2950152640949</v>
      </c>
      <c r="H66" s="42">
        <v>390.18587608308599</v>
      </c>
      <c r="I66" s="42">
        <v>454.24624379821955</v>
      </c>
      <c r="J66" s="42">
        <v>436.77523442136493</v>
      </c>
      <c r="K66" s="42">
        <v>489.18826255192874</v>
      </c>
      <c r="L66" s="42">
        <v>460.06991359050437</v>
      </c>
      <c r="M66" s="42">
        <v>418.13949108605334</v>
      </c>
      <c r="N66" s="42">
        <v>489.18826255192874</v>
      </c>
      <c r="O66" s="42">
        <v>519.47134547180997</v>
      </c>
      <c r="P66" s="42">
        <v>609.15586027299696</v>
      </c>
      <c r="Q66" s="42">
        <v>669.72202611275952</v>
      </c>
      <c r="R66" s="42">
        <v>708.15824674183966</v>
      </c>
      <c r="S66" s="42">
        <v>901.50408384569721</v>
      </c>
      <c r="T66" s="42">
        <v>804.83116529376844</v>
      </c>
      <c r="U66" s="42">
        <v>774.54808237388715</v>
      </c>
      <c r="V66" s="42">
        <v>769.8891465400593</v>
      </c>
      <c r="W66" s="42">
        <v>783.86595404154298</v>
      </c>
      <c r="X66" s="42">
        <v>908.4924875964391</v>
      </c>
      <c r="Y66" s="42">
        <v>937.61083655786342</v>
      </c>
      <c r="Z66" s="42">
        <v>921.3045611394657</v>
      </c>
      <c r="AA66" s="42">
        <v>966.72918551928774</v>
      </c>
      <c r="AB66" s="42">
        <v>818.80797279525211</v>
      </c>
      <c r="AC66" s="42">
        <v>658.07468652818977</v>
      </c>
      <c r="AD66"/>
    </row>
    <row r="67" spans="2:30" ht="15" x14ac:dyDescent="0.2">
      <c r="C67" s="34">
        <v>75</v>
      </c>
      <c r="D67" s="42">
        <v>102.34496617210682</v>
      </c>
      <c r="E67" s="42">
        <v>148.86540534124629</v>
      </c>
      <c r="F67" s="42">
        <v>229.50083323442138</v>
      </c>
      <c r="G67" s="42">
        <v>51.172483086053411</v>
      </c>
      <c r="H67" s="42">
        <v>186.08175667655786</v>
      </c>
      <c r="I67" s="42">
        <v>193.83516320474777</v>
      </c>
      <c r="J67" s="42">
        <v>209.3419762611276</v>
      </c>
      <c r="K67" s="42">
        <v>224.84878931750742</v>
      </c>
      <c r="L67" s="42">
        <v>263.61582195845699</v>
      </c>
      <c r="M67" s="42">
        <v>243.45696498516321</v>
      </c>
      <c r="N67" s="42">
        <v>227.95015192878338</v>
      </c>
      <c r="O67" s="42">
        <v>213.99402017804155</v>
      </c>
      <c r="P67" s="42">
        <v>274.47059109792286</v>
      </c>
      <c r="Q67" s="42">
        <v>167.47358100890207</v>
      </c>
      <c r="R67" s="42">
        <v>356.65670029673589</v>
      </c>
      <c r="S67" s="42">
        <v>344.25124985163205</v>
      </c>
      <c r="T67" s="42">
        <v>378.36623857566764</v>
      </c>
      <c r="U67" s="42">
        <v>283.77467893175077</v>
      </c>
      <c r="V67" s="42">
        <v>432.64008427299706</v>
      </c>
      <c r="W67" s="42">
        <v>476.05916083086055</v>
      </c>
      <c r="X67" s="42">
        <v>558.24527002967363</v>
      </c>
      <c r="Y67" s="42">
        <v>542.73845697329375</v>
      </c>
      <c r="Z67" s="42">
        <v>544.28913827893177</v>
      </c>
      <c r="AA67" s="42">
        <v>589.25889614243329</v>
      </c>
      <c r="AB67" s="42">
        <v>479.16052344213654</v>
      </c>
      <c r="AC67" s="42">
        <v>533.43436913946584</v>
      </c>
      <c r="AD67"/>
    </row>
    <row r="68" spans="2:30" ht="15" x14ac:dyDescent="0.2">
      <c r="C68" s="34">
        <v>85</v>
      </c>
      <c r="D68" s="42">
        <v>9.9588199406528179</v>
      </c>
      <c r="E68" s="42">
        <v>13.942347916913945</v>
      </c>
      <c r="F68" s="42">
        <v>47.802335715133523</v>
      </c>
      <c r="G68" s="42">
        <v>23.901167857566762</v>
      </c>
      <c r="H68" s="42">
        <v>25.892931845697326</v>
      </c>
      <c r="I68" s="42">
        <v>25.892931845697326</v>
      </c>
      <c r="J68" s="42">
        <v>27.884695833827891</v>
      </c>
      <c r="K68" s="42">
        <v>55.769391667655782</v>
      </c>
      <c r="L68" s="42">
        <v>65.728211608308598</v>
      </c>
      <c r="M68" s="42">
        <v>73.695267560830857</v>
      </c>
      <c r="N68" s="42">
        <v>55.769391667655782</v>
      </c>
      <c r="O68" s="42">
        <v>45.810571727002959</v>
      </c>
      <c r="P68" s="42">
        <v>61.744683632047469</v>
      </c>
      <c r="Q68" s="42">
        <v>55.769391667655782</v>
      </c>
      <c r="R68" s="42">
        <v>45.810571727002959</v>
      </c>
      <c r="S68" s="42">
        <v>37.843515774480707</v>
      </c>
      <c r="T68" s="42">
        <v>53.777627679525217</v>
      </c>
      <c r="U68" s="42">
        <v>35.851751786350142</v>
      </c>
      <c r="V68" s="42">
        <v>43.818807738872401</v>
      </c>
      <c r="W68" s="42">
        <v>41.827043750741836</v>
      </c>
      <c r="X68" s="42">
        <v>43.818807738872401</v>
      </c>
      <c r="Y68" s="42">
        <v>41.827043750741836</v>
      </c>
      <c r="Z68" s="42">
        <v>43.818807738872401</v>
      </c>
      <c r="AA68" s="42">
        <v>47.802335715133523</v>
      </c>
      <c r="AB68" s="42">
        <v>53.777627679525217</v>
      </c>
      <c r="AC68" s="42">
        <v>47.802335715133523</v>
      </c>
      <c r="AD68"/>
    </row>
    <row r="69" spans="2:30" ht="15" x14ac:dyDescent="0.2">
      <c r="C69" s="34">
        <v>98</v>
      </c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>
        <v>13.237994008308604</v>
      </c>
      <c r="V69" s="42">
        <v>13.237994008308604</v>
      </c>
      <c r="W69" s="42">
        <v>21.180790413293767</v>
      </c>
      <c r="X69" s="42">
        <v>23.828389214955489</v>
      </c>
      <c r="Y69" s="42">
        <v>34.418784421602375</v>
      </c>
      <c r="Z69" s="42">
        <v>21.180790413293767</v>
      </c>
      <c r="AA69" s="42">
        <v>31.771185619940653</v>
      </c>
      <c r="AB69" s="42">
        <v>18.533191611632045</v>
      </c>
      <c r="AC69" s="42">
        <v>13.237994008308604</v>
      </c>
      <c r="AD69"/>
    </row>
    <row r="70" spans="2:30" ht="15" x14ac:dyDescent="0.2">
      <c r="C70" s="34">
        <v>46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>
        <v>0</v>
      </c>
      <c r="W70" s="42"/>
      <c r="X70" s="42"/>
      <c r="Y70" s="42"/>
      <c r="Z70" s="42"/>
      <c r="AA70" s="42"/>
      <c r="AB70" s="42"/>
      <c r="AC70" s="42"/>
      <c r="AD70"/>
    </row>
    <row r="71" spans="2:30" ht="15" x14ac:dyDescent="0.2">
      <c r="C71" s="34">
        <v>37</v>
      </c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>
        <v>0</v>
      </c>
      <c r="W71" s="42"/>
      <c r="X71" s="42"/>
      <c r="Y71" s="42"/>
      <c r="Z71" s="42"/>
      <c r="AA71" s="42"/>
      <c r="AB71" s="42"/>
      <c r="AC71" s="42"/>
      <c r="AD71"/>
    </row>
    <row r="72" spans="2:30" ht="15" x14ac:dyDescent="0.2">
      <c r="C72" s="34">
        <v>48</v>
      </c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>
        <v>0</v>
      </c>
      <c r="W72" s="42"/>
      <c r="X72" s="42"/>
      <c r="Y72" s="42"/>
      <c r="Z72" s="42"/>
      <c r="AA72" s="42"/>
      <c r="AB72" s="42"/>
      <c r="AC72" s="42"/>
      <c r="AD72"/>
    </row>
    <row r="73" spans="2:30" ht="15" x14ac:dyDescent="0.2">
      <c r="B73" s="34" t="s">
        <v>88</v>
      </c>
      <c r="D73" s="42">
        <v>2178.585247491988</v>
      </c>
      <c r="E73" s="42">
        <v>2250.2840645611864</v>
      </c>
      <c r="F73" s="42">
        <v>2444.6802298027301</v>
      </c>
      <c r="G73" s="42">
        <v>2315.238313900059</v>
      </c>
      <c r="H73" s="42">
        <v>2092.5516567567947</v>
      </c>
      <c r="I73" s="42">
        <v>2113.1577991378035</v>
      </c>
      <c r="J73" s="42">
        <v>2182.1416144579225</v>
      </c>
      <c r="K73" s="42">
        <v>2217.2118228662312</v>
      </c>
      <c r="L73" s="42">
        <v>2206.7951728849848</v>
      </c>
      <c r="M73" s="42">
        <v>2134.1086062836789</v>
      </c>
      <c r="N73" s="42">
        <v>2092.3669533835014</v>
      </c>
      <c r="O73" s="42">
        <v>2087.6942337158453</v>
      </c>
      <c r="P73" s="42">
        <v>2401.7096791976255</v>
      </c>
      <c r="Q73" s="42">
        <v>2201.6540096246881</v>
      </c>
      <c r="R73" s="42">
        <v>2634.4379971228482</v>
      </c>
      <c r="S73" s="42">
        <v>2508.6475566395247</v>
      </c>
      <c r="T73" s="42">
        <v>2626.5395846627889</v>
      </c>
      <c r="U73" s="42">
        <v>2611.3225077934717</v>
      </c>
      <c r="V73" s="42">
        <v>2731.7083070328786</v>
      </c>
      <c r="W73" s="42">
        <v>2743.8620646722843</v>
      </c>
      <c r="X73" s="42">
        <v>2880.9152757763795</v>
      </c>
      <c r="Y73" s="42">
        <v>2854.5677530910384</v>
      </c>
      <c r="Z73" s="42">
        <v>2827.5081575501476</v>
      </c>
      <c r="AA73" s="42">
        <v>3087.6410803769732</v>
      </c>
      <c r="AB73" s="42">
        <v>2880.8537998775068</v>
      </c>
      <c r="AC73" s="42">
        <v>2696.0961182784567</v>
      </c>
      <c r="AD73"/>
    </row>
    <row r="74" spans="2:30" ht="15" x14ac:dyDescent="0.2">
      <c r="B74" s="34" t="s">
        <v>8</v>
      </c>
      <c r="C74" s="34">
        <v>23.6</v>
      </c>
      <c r="D74" s="42">
        <v>39.920629261673589</v>
      </c>
      <c r="E74" s="42">
        <v>81.376667341103854</v>
      </c>
      <c r="F74" s="42">
        <v>23.031132266350149</v>
      </c>
      <c r="G74" s="42">
        <v>30.708176355133531</v>
      </c>
      <c r="H74" s="42">
        <v>24.566541084106824</v>
      </c>
      <c r="I74" s="42">
        <v>42.223742488308609</v>
      </c>
      <c r="J74" s="42">
        <v>30.708176355133531</v>
      </c>
      <c r="K74" s="42">
        <v>52.203899803727005</v>
      </c>
      <c r="L74" s="42">
        <v>47.90475511400831</v>
      </c>
      <c r="M74" s="42">
        <v>54.967635675689024</v>
      </c>
      <c r="N74" s="42">
        <v>58.345535074753712</v>
      </c>
      <c r="O74" s="42">
        <v>53.73930862148368</v>
      </c>
      <c r="P74" s="42">
        <v>46.062264532700297</v>
      </c>
      <c r="Q74" s="42">
        <v>39.920629261673589</v>
      </c>
      <c r="R74" s="42">
        <v>53.73930862148368</v>
      </c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/>
    </row>
    <row r="75" spans="2:30" ht="15" x14ac:dyDescent="0.2">
      <c r="C75" s="34">
        <v>32</v>
      </c>
      <c r="D75" s="42">
        <v>191.9591834207715</v>
      </c>
      <c r="E75" s="42">
        <v>347.2202876581602</v>
      </c>
      <c r="F75" s="42">
        <v>371.21518558575667</v>
      </c>
      <c r="G75" s="42">
        <v>307.69927930682491</v>
      </c>
      <c r="H75" s="42">
        <v>294.14921930065282</v>
      </c>
      <c r="I75" s="42">
        <v>327.45978348249258</v>
      </c>
      <c r="J75" s="42">
        <v>304.59405722207714</v>
      </c>
      <c r="K75" s="42">
        <v>302.05342097091983</v>
      </c>
      <c r="L75" s="42">
        <v>332.25876306801183</v>
      </c>
      <c r="M75" s="42">
        <v>311.08679430836793</v>
      </c>
      <c r="N75" s="42">
        <v>259.14489761804151</v>
      </c>
      <c r="O75" s="42">
        <v>324.63685431454002</v>
      </c>
      <c r="P75" s="42">
        <v>352.86614599406528</v>
      </c>
      <c r="Q75" s="42">
        <v>381.09543767359048</v>
      </c>
      <c r="R75" s="42">
        <v>352.30156016047476</v>
      </c>
      <c r="S75" s="42">
        <v>321.81392514658751</v>
      </c>
      <c r="T75" s="42">
        <v>366.98079183382788</v>
      </c>
      <c r="U75" s="42">
        <v>355.68907516201779</v>
      </c>
      <c r="V75" s="42">
        <v>366.98079183382788</v>
      </c>
      <c r="W75" s="42">
        <v>256.88655428367952</v>
      </c>
      <c r="X75" s="42">
        <v>338.75150015430262</v>
      </c>
      <c r="Y75" s="42">
        <v>305.44093597246291</v>
      </c>
      <c r="Z75" s="42">
        <v>367.54537766741839</v>
      </c>
      <c r="AA75" s="42">
        <v>389.56422517744807</v>
      </c>
      <c r="AB75" s="42">
        <v>389.84651809424327</v>
      </c>
      <c r="AC75" s="42">
        <v>411.01848685388723</v>
      </c>
      <c r="AD75"/>
    </row>
    <row r="76" spans="2:30" ht="15" x14ac:dyDescent="0.2">
      <c r="C76" s="34">
        <v>43</v>
      </c>
      <c r="D76" s="42">
        <v>214.08499348130562</v>
      </c>
      <c r="E76" s="42">
        <v>244.66856397863498</v>
      </c>
      <c r="F76" s="42">
        <v>183.50142298397623</v>
      </c>
      <c r="G76" s="42">
        <v>127.43154373887239</v>
      </c>
      <c r="H76" s="42">
        <v>203.89046998219581</v>
      </c>
      <c r="I76" s="42">
        <v>207.45855320688426</v>
      </c>
      <c r="J76" s="42">
        <v>205.41964850706228</v>
      </c>
      <c r="K76" s="42">
        <v>265.05761097685456</v>
      </c>
      <c r="L76" s="42">
        <v>273.21322977614238</v>
      </c>
      <c r="M76" s="42">
        <v>362.92503656830854</v>
      </c>
      <c r="N76" s="42">
        <v>438.36451046172101</v>
      </c>
      <c r="O76" s="42">
        <v>489.33712795726996</v>
      </c>
      <c r="P76" s="42">
        <v>499.53165145637973</v>
      </c>
      <c r="Q76" s="42">
        <v>389.94052384094948</v>
      </c>
      <c r="R76" s="42">
        <v>509.72617495548957</v>
      </c>
      <c r="S76" s="42">
        <v>397.58641646528184</v>
      </c>
      <c r="T76" s="42">
        <v>382.29463121661718</v>
      </c>
      <c r="U76" s="42">
        <v>300.73844322373884</v>
      </c>
      <c r="V76" s="42">
        <v>310.93296672284862</v>
      </c>
      <c r="W76" s="42">
        <v>336.41927547062312</v>
      </c>
      <c r="X76" s="42">
        <v>399.11559499014834</v>
      </c>
      <c r="Y76" s="42">
        <v>489.33712795726996</v>
      </c>
      <c r="Z76" s="42">
        <v>433.26724871216612</v>
      </c>
      <c r="AA76" s="42">
        <v>484.74959238267058</v>
      </c>
      <c r="AB76" s="42">
        <v>463.85081920949551</v>
      </c>
      <c r="AC76" s="42">
        <v>458.24383128498511</v>
      </c>
      <c r="AD76"/>
    </row>
    <row r="77" spans="2:30" ht="15" x14ac:dyDescent="0.2">
      <c r="C77" s="34">
        <v>50</v>
      </c>
      <c r="D77" s="42">
        <v>130.94642136498516</v>
      </c>
      <c r="E77" s="42">
        <v>137.83833827893176</v>
      </c>
      <c r="F77" s="42">
        <v>199.86559050445103</v>
      </c>
      <c r="G77" s="42">
        <v>213.64942433234421</v>
      </c>
      <c r="H77" s="42">
        <v>206.75750741839764</v>
      </c>
      <c r="I77" s="42">
        <v>241.21709198813056</v>
      </c>
      <c r="J77" s="42">
        <v>255.00092581602374</v>
      </c>
      <c r="K77" s="42">
        <v>275.67667655786352</v>
      </c>
      <c r="L77" s="42">
        <v>241.21709198813056</v>
      </c>
      <c r="M77" s="42">
        <v>234.32517507418396</v>
      </c>
      <c r="N77" s="42">
        <v>251.55496735905044</v>
      </c>
      <c r="O77" s="42">
        <v>310.13626112759641</v>
      </c>
      <c r="P77" s="42">
        <v>275.67667655786352</v>
      </c>
      <c r="Q77" s="42">
        <v>213.64942433234421</v>
      </c>
      <c r="R77" s="42">
        <v>311.51464451038578</v>
      </c>
      <c r="S77" s="42">
        <v>275.67667655786352</v>
      </c>
      <c r="T77" s="42">
        <v>379.05543026706232</v>
      </c>
      <c r="U77" s="42">
        <v>358.37967952522257</v>
      </c>
      <c r="V77" s="42">
        <v>310.13626112759641</v>
      </c>
      <c r="W77" s="42">
        <v>310.13626112759641</v>
      </c>
      <c r="X77" s="42">
        <v>317.02817804154301</v>
      </c>
      <c r="Y77" s="42">
        <v>261.89284272997031</v>
      </c>
      <c r="Z77" s="42">
        <v>317.02817804154301</v>
      </c>
      <c r="AA77" s="42">
        <v>289.46051038575666</v>
      </c>
      <c r="AB77" s="42">
        <v>261.89284272997031</v>
      </c>
      <c r="AC77" s="42">
        <v>283.94697685459943</v>
      </c>
      <c r="AD77"/>
    </row>
    <row r="78" spans="2:30" ht="15" x14ac:dyDescent="0.2">
      <c r="C78" s="34">
        <v>55</v>
      </c>
      <c r="D78" s="42">
        <v>0</v>
      </c>
      <c r="E78" s="42">
        <v>0</v>
      </c>
      <c r="F78" s="42">
        <v>10.007063359050443</v>
      </c>
      <c r="G78" s="42">
        <v>20.848048664688424</v>
      </c>
      <c r="H78" s="42">
        <v>61.71022404747773</v>
      </c>
      <c r="I78" s="42">
        <v>58.374536261127588</v>
      </c>
      <c r="J78" s="42">
        <v>150.10595038575664</v>
      </c>
      <c r="K78" s="42">
        <v>183.46282824925814</v>
      </c>
      <c r="L78" s="42">
        <v>154.27556011869433</v>
      </c>
      <c r="M78" s="42">
        <v>190.13420382195841</v>
      </c>
      <c r="N78" s="42">
        <v>225.15892557863498</v>
      </c>
      <c r="O78" s="42">
        <v>158.44516985163202</v>
      </c>
      <c r="P78" s="42">
        <v>166.78438931750739</v>
      </c>
      <c r="Q78" s="42">
        <v>179.29321851632045</v>
      </c>
      <c r="R78" s="42">
        <v>317.7242616498516</v>
      </c>
      <c r="S78" s="42">
        <v>291.87268130563791</v>
      </c>
      <c r="T78" s="42">
        <v>341.90799810089015</v>
      </c>
      <c r="U78" s="42">
        <v>341.90799810089015</v>
      </c>
      <c r="V78" s="42">
        <v>333.56877863501478</v>
      </c>
      <c r="W78" s="42">
        <v>316.89033970326403</v>
      </c>
      <c r="X78" s="42">
        <v>366.92565649851628</v>
      </c>
      <c r="Y78" s="42">
        <v>466.9962900890207</v>
      </c>
      <c r="Z78" s="42">
        <v>382.77017348367946</v>
      </c>
      <c r="AA78" s="42">
        <v>542.04926528189901</v>
      </c>
      <c r="AB78" s="42">
        <v>225.15892557863498</v>
      </c>
      <c r="AC78" s="42">
        <v>381.10232959050438</v>
      </c>
      <c r="AD78"/>
    </row>
    <row r="79" spans="2:30" ht="15" x14ac:dyDescent="0.2">
      <c r="C79" s="34">
        <v>58</v>
      </c>
      <c r="D79" s="42">
        <v>0.92737633994065272</v>
      </c>
      <c r="E79" s="42">
        <v>7.4190107195252217</v>
      </c>
      <c r="F79" s="42">
        <v>0</v>
      </c>
      <c r="G79" s="42">
        <v>37.095053597626105</v>
      </c>
      <c r="H79" s="42">
        <v>64.916343795845691</v>
      </c>
      <c r="I79" s="42">
        <v>74.19010719525221</v>
      </c>
      <c r="J79" s="42">
        <v>46.368816997032638</v>
      </c>
      <c r="K79" s="42">
        <v>64.916343795845691</v>
      </c>
      <c r="L79" s="42">
        <v>27.821290198219582</v>
      </c>
      <c r="M79" s="42">
        <v>32.458171897922846</v>
      </c>
      <c r="N79" s="42">
        <v>41.731935297329372</v>
      </c>
      <c r="O79" s="42">
        <v>46.368816997032638</v>
      </c>
      <c r="P79" s="42">
        <v>46.368816997032638</v>
      </c>
      <c r="Q79" s="42">
        <v>46.368816997032638</v>
      </c>
      <c r="R79" s="42">
        <v>37.095053597626105</v>
      </c>
      <c r="S79" s="42">
        <v>37.095053597626105</v>
      </c>
      <c r="T79" s="42">
        <v>46.368816997032638</v>
      </c>
      <c r="U79" s="42">
        <v>55.642580396439165</v>
      </c>
      <c r="V79" s="42">
        <v>71.407978175430259</v>
      </c>
      <c r="W79" s="42">
        <v>46.368816997032638</v>
      </c>
      <c r="X79" s="42">
        <v>84.391246934599394</v>
      </c>
      <c r="Y79" s="42">
        <v>55.642580396439165</v>
      </c>
      <c r="Z79" s="42">
        <v>74.19010719525221</v>
      </c>
      <c r="AA79" s="42">
        <v>64.916343795845691</v>
      </c>
      <c r="AB79" s="42">
        <v>27.821290198219582</v>
      </c>
      <c r="AC79" s="42">
        <v>12.983268759169139</v>
      </c>
      <c r="AD79"/>
    </row>
    <row r="80" spans="2:30" ht="15" x14ac:dyDescent="0.2">
      <c r="C80" s="34">
        <v>65</v>
      </c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>
        <v>0</v>
      </c>
      <c r="V80" s="42">
        <v>0</v>
      </c>
      <c r="W80" s="42"/>
      <c r="X80" s="42">
        <v>5.8236697922848659</v>
      </c>
      <c r="Y80" s="42">
        <v>3.4942018753709192</v>
      </c>
      <c r="Z80" s="42">
        <v>5.8236697922848659</v>
      </c>
      <c r="AA80" s="42">
        <v>46.589358338278927</v>
      </c>
      <c r="AB80" s="42">
        <v>34.942018753709192</v>
      </c>
      <c r="AC80" s="42">
        <v>50.083560213649847</v>
      </c>
      <c r="AD80"/>
    </row>
    <row r="81" spans="2:30" ht="15" x14ac:dyDescent="0.2">
      <c r="C81" s="34">
        <v>85</v>
      </c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>
        <v>23.901167857566762</v>
      </c>
      <c r="Z81" s="42">
        <v>19.917639881305636</v>
      </c>
      <c r="AA81" s="42">
        <v>39.835279762611272</v>
      </c>
      <c r="AB81" s="42">
        <v>59.752919643916904</v>
      </c>
      <c r="AC81" s="42">
        <v>69.711739584569727</v>
      </c>
      <c r="AD81"/>
    </row>
    <row r="82" spans="2:30" ht="15" x14ac:dyDescent="0.2">
      <c r="B82" s="34" t="s">
        <v>89</v>
      </c>
      <c r="D82" s="42">
        <v>577.83860386867661</v>
      </c>
      <c r="E82" s="42">
        <v>818.52286797635611</v>
      </c>
      <c r="F82" s="42">
        <v>787.62039469958449</v>
      </c>
      <c r="G82" s="42">
        <v>737.43152599548966</v>
      </c>
      <c r="H82" s="42">
        <v>855.99030562867642</v>
      </c>
      <c r="I82" s="42">
        <v>950.92381462219578</v>
      </c>
      <c r="J82" s="42">
        <v>992.19757528308583</v>
      </c>
      <c r="K82" s="42">
        <v>1143.3707803544687</v>
      </c>
      <c r="L82" s="42">
        <v>1076.690690263207</v>
      </c>
      <c r="M82" s="42">
        <v>1185.8970173464306</v>
      </c>
      <c r="N82" s="42">
        <v>1274.3007713895311</v>
      </c>
      <c r="O82" s="42">
        <v>1382.6635388695547</v>
      </c>
      <c r="P82" s="42">
        <v>1387.289944855549</v>
      </c>
      <c r="Q82" s="42">
        <v>1250.2680506219106</v>
      </c>
      <c r="R82" s="42">
        <v>1582.1010034953113</v>
      </c>
      <c r="S82" s="42">
        <v>1324.0447530729969</v>
      </c>
      <c r="T82" s="42">
        <v>1516.60766841543</v>
      </c>
      <c r="U82" s="42">
        <v>1412.3577764083086</v>
      </c>
      <c r="V82" s="42">
        <v>1393.026776494718</v>
      </c>
      <c r="W82" s="42">
        <v>1266.7012475821957</v>
      </c>
      <c r="X82" s="42">
        <v>1512.0358464113945</v>
      </c>
      <c r="Y82" s="42">
        <v>1606.7051468781008</v>
      </c>
      <c r="Z82" s="42">
        <v>1600.5423947736497</v>
      </c>
      <c r="AA82" s="42">
        <v>1857.1645751245103</v>
      </c>
      <c r="AB82" s="42">
        <v>1463.2653342081899</v>
      </c>
      <c r="AC82" s="42">
        <v>1667.0901931413646</v>
      </c>
      <c r="AD82"/>
    </row>
    <row r="83" spans="2:30" ht="15" x14ac:dyDescent="0.2">
      <c r="B83" s="34" t="s">
        <v>39</v>
      </c>
      <c r="C83" s="34">
        <v>18.5</v>
      </c>
      <c r="D83" s="42">
        <v>1.7926565084866468</v>
      </c>
      <c r="E83" s="42">
        <v>0.18870068510385757</v>
      </c>
      <c r="F83" s="42">
        <v>2.7361599340059346</v>
      </c>
      <c r="G83" s="42">
        <v>1.320904795727003</v>
      </c>
      <c r="H83" s="42">
        <v>1.7926565084866468</v>
      </c>
      <c r="I83" s="42">
        <v>1.0378537680712165</v>
      </c>
      <c r="J83" s="42">
        <v>0.84915308296735903</v>
      </c>
      <c r="K83" s="42">
        <v>0.94350342551928779</v>
      </c>
      <c r="L83" s="42">
        <v>1.4152551382789318</v>
      </c>
      <c r="M83" s="42">
        <v>1.0378537680712165</v>
      </c>
      <c r="N83" s="42">
        <v>1.4152551382789318</v>
      </c>
      <c r="O83" s="42">
        <v>1.6983061659347181</v>
      </c>
      <c r="P83" s="42">
        <v>1.8870068510385756</v>
      </c>
      <c r="Q83" s="42">
        <v>0.84915308296735903</v>
      </c>
      <c r="R83" s="42">
        <v>1.4152551382789318</v>
      </c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/>
    </row>
    <row r="84" spans="2:30" ht="15" x14ac:dyDescent="0.2">
      <c r="C84" s="34">
        <v>23.6</v>
      </c>
      <c r="D84" s="42">
        <v>56.195962729894362</v>
      </c>
      <c r="E84" s="42">
        <v>35.467943690179226</v>
      </c>
      <c r="F84" s="42">
        <v>101.644063735492</v>
      </c>
      <c r="G84" s="42">
        <v>91.203283774746595</v>
      </c>
      <c r="H84" s="42">
        <v>78.305849705590504</v>
      </c>
      <c r="I84" s="42">
        <v>38.231679562141245</v>
      </c>
      <c r="J84" s="42">
        <v>49.133082168213647</v>
      </c>
      <c r="K84" s="42">
        <v>74.313786779423154</v>
      </c>
      <c r="L84" s="42">
        <v>85.829352912598225</v>
      </c>
      <c r="M84" s="42">
        <v>77.231063533160835</v>
      </c>
      <c r="N84" s="42">
        <v>72.931918843442133</v>
      </c>
      <c r="O84" s="42">
        <v>84.754566740168542</v>
      </c>
      <c r="P84" s="42">
        <v>94.581183173811283</v>
      </c>
      <c r="Q84" s="42">
        <v>67.404447099518109</v>
      </c>
      <c r="R84" s="42">
        <v>65.254874754658758</v>
      </c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/>
    </row>
    <row r="85" spans="2:30" ht="15" x14ac:dyDescent="0.2">
      <c r="C85" s="34">
        <v>32</v>
      </c>
      <c r="D85" s="42">
        <v>200.42797092462905</v>
      </c>
      <c r="E85" s="42">
        <v>152.15588215264094</v>
      </c>
      <c r="F85" s="42">
        <v>235.14999969044507</v>
      </c>
      <c r="G85" s="42">
        <v>261.12094803560831</v>
      </c>
      <c r="H85" s="42">
        <v>278.90540179370919</v>
      </c>
      <c r="I85" s="42">
        <v>293.30234055026705</v>
      </c>
      <c r="J85" s="42">
        <v>267.6136851218991</v>
      </c>
      <c r="K85" s="42">
        <v>228.37496968735903</v>
      </c>
      <c r="L85" s="42">
        <v>215.10720259798217</v>
      </c>
      <c r="M85" s="42">
        <v>212.28427343002966</v>
      </c>
      <c r="N85" s="42">
        <v>224.987454685816</v>
      </c>
      <c r="O85" s="42">
        <v>265.35534178753704</v>
      </c>
      <c r="P85" s="42">
        <v>202.68631425899108</v>
      </c>
      <c r="Q85" s="42">
        <v>210.02593009566763</v>
      </c>
      <c r="R85" s="42">
        <v>238.53751469198812</v>
      </c>
      <c r="S85" s="42">
        <v>189.98313300320473</v>
      </c>
      <c r="T85" s="42">
        <v>206.0738292605341</v>
      </c>
      <c r="U85" s="42">
        <v>200.42797092462905</v>
      </c>
      <c r="V85" s="42">
        <v>215.67178843157268</v>
      </c>
      <c r="W85" s="42">
        <v>217.08325301554893</v>
      </c>
      <c r="X85" s="42">
        <v>189.70084008640947</v>
      </c>
      <c r="Y85" s="42">
        <v>172.76326507869436</v>
      </c>
      <c r="Z85" s="42">
        <v>189.70084008640947</v>
      </c>
      <c r="AA85" s="42">
        <v>225.83433343620177</v>
      </c>
      <c r="AB85" s="42">
        <v>214.54261676439168</v>
      </c>
      <c r="AC85" s="42">
        <v>192.80606217115727</v>
      </c>
      <c r="AD85"/>
    </row>
    <row r="86" spans="2:30" ht="15" x14ac:dyDescent="0.2">
      <c r="C86" s="34">
        <v>39</v>
      </c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>
        <v>0</v>
      </c>
      <c r="W86" s="42"/>
      <c r="X86" s="42"/>
      <c r="Y86" s="42"/>
      <c r="Z86" s="42"/>
      <c r="AA86" s="42"/>
      <c r="AB86" s="42"/>
      <c r="AC86" s="42"/>
      <c r="AD86"/>
    </row>
    <row r="87" spans="2:30" ht="15" x14ac:dyDescent="0.2">
      <c r="C87" s="34">
        <v>40</v>
      </c>
      <c r="D87" s="42">
        <v>483.86770269436198</v>
      </c>
      <c r="E87" s="42">
        <v>371.39161865875371</v>
      </c>
      <c r="F87" s="42">
        <v>527.53488826112755</v>
      </c>
      <c r="G87" s="42">
        <v>459.16707247477746</v>
      </c>
      <c r="H87" s="42">
        <v>560.61608944807119</v>
      </c>
      <c r="I87" s="42">
        <v>510.77374632640948</v>
      </c>
      <c r="J87" s="42">
        <v>490.92502561424328</v>
      </c>
      <c r="K87" s="42">
        <v>542.97278214836797</v>
      </c>
      <c r="L87" s="42">
        <v>509.89158096142432</v>
      </c>
      <c r="M87" s="42">
        <v>454.75624564985162</v>
      </c>
      <c r="N87" s="42">
        <v>420.35179641543027</v>
      </c>
      <c r="O87" s="42">
        <v>561.0571721305638</v>
      </c>
      <c r="P87" s="42">
        <v>481.66228928189912</v>
      </c>
      <c r="Q87" s="42">
        <v>439.31835176261126</v>
      </c>
      <c r="R87" s="42">
        <v>480.78012391691391</v>
      </c>
      <c r="S87" s="42">
        <v>459.16707247477746</v>
      </c>
      <c r="T87" s="42">
        <v>373.15594938872403</v>
      </c>
      <c r="U87" s="42">
        <v>461.37248588724032</v>
      </c>
      <c r="V87" s="42">
        <v>437.9951037151335</v>
      </c>
      <c r="W87" s="42">
        <v>385.50626449851632</v>
      </c>
      <c r="X87" s="42">
        <v>392.12250473590501</v>
      </c>
      <c r="Y87" s="42">
        <v>407.11931594065283</v>
      </c>
      <c r="Z87" s="42">
        <v>379.33110694362017</v>
      </c>
      <c r="AA87" s="42">
        <v>421.23396178041543</v>
      </c>
      <c r="AB87" s="42">
        <v>349.7785672166172</v>
      </c>
      <c r="AC87" s="42">
        <v>294.6432319050445</v>
      </c>
      <c r="AD87"/>
    </row>
    <row r="88" spans="2:30" ht="15" x14ac:dyDescent="0.2">
      <c r="C88" s="34">
        <v>42</v>
      </c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>
        <v>0</v>
      </c>
      <c r="W88" s="42"/>
      <c r="X88" s="42"/>
      <c r="Y88" s="42"/>
      <c r="Z88" s="42"/>
      <c r="AA88" s="42"/>
      <c r="AB88" s="42"/>
      <c r="AC88" s="42"/>
      <c r="AD88"/>
    </row>
    <row r="89" spans="2:30" ht="15" x14ac:dyDescent="0.2">
      <c r="C89" s="34">
        <v>43</v>
      </c>
      <c r="D89" s="42">
        <v>48.423986620771508</v>
      </c>
      <c r="E89" s="42">
        <v>86.653449742433224</v>
      </c>
      <c r="F89" s="42">
        <v>160.05401893602371</v>
      </c>
      <c r="G89" s="42">
        <v>83.595092692700291</v>
      </c>
      <c r="H89" s="42">
        <v>127.94126991382788</v>
      </c>
      <c r="I89" s="42">
        <v>139.66497193780413</v>
      </c>
      <c r="J89" s="42">
        <v>143.23305516249258</v>
      </c>
      <c r="K89" s="42">
        <v>147.82059073709198</v>
      </c>
      <c r="L89" s="42">
        <v>120.29537728949553</v>
      </c>
      <c r="M89" s="42">
        <v>129.47044843869435</v>
      </c>
      <c r="N89" s="42">
        <v>137.11634106302668</v>
      </c>
      <c r="O89" s="42">
        <v>163.11237598575667</v>
      </c>
      <c r="P89" s="42">
        <v>111.63003231525221</v>
      </c>
      <c r="Q89" s="42">
        <v>94.299342366765572</v>
      </c>
      <c r="R89" s="42">
        <v>142.72332898753709</v>
      </c>
      <c r="S89" s="42">
        <v>135.58716253816021</v>
      </c>
      <c r="T89" s="42">
        <v>115.70784171489613</v>
      </c>
      <c r="U89" s="42">
        <v>158.01511423620175</v>
      </c>
      <c r="V89" s="42">
        <v>119.78565111454004</v>
      </c>
      <c r="W89" s="42">
        <v>153.42757866160235</v>
      </c>
      <c r="X89" s="42">
        <v>109.59112761543025</v>
      </c>
      <c r="Y89" s="42">
        <v>129.98017461364984</v>
      </c>
      <c r="Z89" s="42">
        <v>182.99169680902074</v>
      </c>
      <c r="AA89" s="42">
        <v>176.36525653459938</v>
      </c>
      <c r="AB89" s="42">
        <v>119.78565111454004</v>
      </c>
      <c r="AC89" s="42">
        <v>126.41209138896141</v>
      </c>
      <c r="AD89"/>
    </row>
    <row r="90" spans="2:30" ht="15" x14ac:dyDescent="0.2">
      <c r="C90" s="34">
        <v>45</v>
      </c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>
        <v>0</v>
      </c>
      <c r="W90" s="42"/>
      <c r="X90" s="42"/>
      <c r="Y90" s="42"/>
      <c r="Z90" s="42"/>
      <c r="AA90" s="42"/>
      <c r="AB90" s="42"/>
      <c r="AC90" s="42"/>
      <c r="AD90"/>
    </row>
    <row r="91" spans="2:30" ht="15" x14ac:dyDescent="0.2">
      <c r="C91" s="34">
        <v>50</v>
      </c>
      <c r="D91" s="42">
        <v>398.35279762611276</v>
      </c>
      <c r="E91" s="42">
        <v>333.56877863501484</v>
      </c>
      <c r="F91" s="42">
        <v>484.50175905044512</v>
      </c>
      <c r="G91" s="42">
        <v>451.42055786350147</v>
      </c>
      <c r="H91" s="42">
        <v>498.97478456973295</v>
      </c>
      <c r="I91" s="42">
        <v>512.06942670623141</v>
      </c>
      <c r="J91" s="42">
        <v>618.89413887240357</v>
      </c>
      <c r="K91" s="42">
        <v>489.32610089020773</v>
      </c>
      <c r="L91" s="42">
        <v>525.16406884272999</v>
      </c>
      <c r="M91" s="42">
        <v>471.4071169139466</v>
      </c>
      <c r="N91" s="42">
        <v>493.46125103857565</v>
      </c>
      <c r="O91" s="42">
        <v>474.8530753709199</v>
      </c>
      <c r="P91" s="42">
        <v>418.33935667655788</v>
      </c>
      <c r="Q91" s="42">
        <v>375.60947181008902</v>
      </c>
      <c r="R91" s="42">
        <v>430.74480712166172</v>
      </c>
      <c r="S91" s="42">
        <v>457.62328308605339</v>
      </c>
      <c r="T91" s="42">
        <v>399.73118100890207</v>
      </c>
      <c r="U91" s="42">
        <v>421.78531513353113</v>
      </c>
      <c r="V91" s="42">
        <v>426.60965697329374</v>
      </c>
      <c r="W91" s="42">
        <v>456.24489970326408</v>
      </c>
      <c r="X91" s="42">
        <v>365.27159643916912</v>
      </c>
      <c r="Y91" s="42">
        <v>416.96097329376852</v>
      </c>
      <c r="Z91" s="42">
        <v>458.31247477744807</v>
      </c>
      <c r="AA91" s="42">
        <v>431.43399881305635</v>
      </c>
      <c r="AB91" s="42">
        <v>279.12263501483682</v>
      </c>
      <c r="AC91" s="42">
        <v>399.04198931750739</v>
      </c>
      <c r="AD91"/>
    </row>
    <row r="92" spans="2:30" ht="15" x14ac:dyDescent="0.2">
      <c r="C92" s="34">
        <v>55</v>
      </c>
      <c r="D92" s="42"/>
      <c r="E92" s="42"/>
      <c r="F92" s="42"/>
      <c r="G92" s="42"/>
      <c r="H92" s="42"/>
      <c r="I92" s="42"/>
      <c r="J92" s="42"/>
      <c r="K92" s="42"/>
      <c r="L92" s="42">
        <v>3.3356877863501477</v>
      </c>
      <c r="M92" s="42">
        <v>5.0035316795252216</v>
      </c>
      <c r="N92" s="42">
        <v>6.6713755727002955</v>
      </c>
      <c r="O92" s="42">
        <v>10.007063359050443</v>
      </c>
      <c r="P92" s="42">
        <v>17.512360878338274</v>
      </c>
      <c r="Q92" s="42">
        <v>20.848048664688424</v>
      </c>
      <c r="R92" s="42">
        <v>18.346282824925812</v>
      </c>
      <c r="S92" s="42">
        <v>28.353346183976257</v>
      </c>
      <c r="T92" s="42">
        <v>10.007063359050443</v>
      </c>
      <c r="U92" s="42">
        <v>12.508829198813054</v>
      </c>
      <c r="V92" s="42">
        <v>10.007063359050443</v>
      </c>
      <c r="W92" s="42">
        <v>3.3356877863501477</v>
      </c>
      <c r="X92" s="42">
        <v>34.190799810089011</v>
      </c>
      <c r="Y92" s="42">
        <v>35.024721756676549</v>
      </c>
      <c r="Z92" s="42">
        <v>29.187268130563794</v>
      </c>
      <c r="AA92" s="42">
        <v>5.0035316795252216</v>
      </c>
      <c r="AB92" s="42">
        <v>15.010595038575666</v>
      </c>
      <c r="AC92" s="42">
        <v>10.840985305637981</v>
      </c>
      <c r="AD92"/>
    </row>
    <row r="93" spans="2:30" ht="15" x14ac:dyDescent="0.2">
      <c r="C93" s="34">
        <v>58</v>
      </c>
      <c r="D93" s="42">
        <v>46.368816997032638</v>
      </c>
      <c r="E93" s="42">
        <v>50.078322356795248</v>
      </c>
      <c r="F93" s="42">
        <v>57.497333076320466</v>
      </c>
      <c r="G93" s="42">
        <v>58.424709416261123</v>
      </c>
      <c r="H93" s="42">
        <v>45.441440657091981</v>
      </c>
      <c r="I93" s="42">
        <v>51.933075036676556</v>
      </c>
      <c r="J93" s="42">
        <v>35.240300917744804</v>
      </c>
      <c r="K93" s="42">
        <v>39.877182617448064</v>
      </c>
      <c r="L93" s="42">
        <v>36.167677257685455</v>
      </c>
      <c r="M93" s="42">
        <v>40.804558957388721</v>
      </c>
      <c r="N93" s="42">
        <v>18.547526798813053</v>
      </c>
      <c r="O93" s="42">
        <v>15.765397778991096</v>
      </c>
      <c r="P93" s="42">
        <v>14.838021439050443</v>
      </c>
      <c r="Q93" s="42">
        <v>6.4916343795845695</v>
      </c>
      <c r="R93" s="42">
        <v>13.910645099109791</v>
      </c>
      <c r="S93" s="42">
        <v>13.910645099109791</v>
      </c>
      <c r="T93" s="42">
        <v>12.055892419228485</v>
      </c>
      <c r="U93" s="42">
        <v>8.346387059465874</v>
      </c>
      <c r="V93" s="42">
        <v>9.2737633994065263</v>
      </c>
      <c r="W93" s="42">
        <v>10.20113973934718</v>
      </c>
      <c r="X93" s="42">
        <v>10.20113973934718</v>
      </c>
      <c r="Y93" s="42">
        <v>11.128516079287833</v>
      </c>
      <c r="Z93" s="42">
        <v>9.2737633994065263</v>
      </c>
      <c r="AA93" s="42">
        <v>4.6368816997032631</v>
      </c>
      <c r="AB93" s="42">
        <v>2.7821290198219581</v>
      </c>
      <c r="AC93" s="42">
        <v>2.7821290198219581</v>
      </c>
      <c r="AD93"/>
    </row>
    <row r="94" spans="2:30" ht="15" x14ac:dyDescent="0.2">
      <c r="C94" s="34">
        <v>65</v>
      </c>
      <c r="D94" s="42">
        <v>37.27148667062314</v>
      </c>
      <c r="E94" s="42">
        <v>45.42462437982195</v>
      </c>
      <c r="F94" s="42">
        <v>50.083560213649847</v>
      </c>
      <c r="G94" s="42">
        <v>52.413028130563788</v>
      </c>
      <c r="H94" s="42">
        <v>53.577762089020766</v>
      </c>
      <c r="I94" s="42">
        <v>73.378239382789303</v>
      </c>
      <c r="J94" s="42">
        <v>37.27148667062314</v>
      </c>
      <c r="K94" s="42">
        <v>62.895633756676553</v>
      </c>
      <c r="L94" s="42">
        <v>69.884037507418384</v>
      </c>
      <c r="M94" s="42">
        <v>50.083560213649847</v>
      </c>
      <c r="N94" s="42">
        <v>65.225101673590501</v>
      </c>
      <c r="O94" s="42">
        <v>76.872441258160222</v>
      </c>
      <c r="P94" s="42">
        <v>75.707707299703259</v>
      </c>
      <c r="Q94" s="42">
        <v>59.401431881305633</v>
      </c>
      <c r="R94" s="42">
        <v>58.236697922848656</v>
      </c>
      <c r="S94" s="42">
        <v>39.600954587537089</v>
      </c>
      <c r="T94" s="42">
        <v>54.742496047477736</v>
      </c>
      <c r="U94" s="42">
        <v>46.589358338278927</v>
      </c>
      <c r="V94" s="42">
        <v>59.401431881305633</v>
      </c>
      <c r="W94" s="42">
        <v>50.083560213649847</v>
      </c>
      <c r="X94" s="42">
        <v>93.178716676557855</v>
      </c>
      <c r="Y94" s="42">
        <v>3.4942018753709192</v>
      </c>
      <c r="Z94" s="42">
        <v>111.81446001186941</v>
      </c>
      <c r="AA94" s="42">
        <v>130.450203347181</v>
      </c>
      <c r="AB94" s="42">
        <v>48.918826255192869</v>
      </c>
      <c r="AC94" s="42">
        <v>76.872441258160222</v>
      </c>
      <c r="AD94"/>
    </row>
    <row r="95" spans="2:30" ht="15" x14ac:dyDescent="0.2">
      <c r="C95" s="34">
        <v>75</v>
      </c>
      <c r="D95" s="42">
        <v>13.956131750741839</v>
      </c>
      <c r="E95" s="42">
        <v>10.854769139465876</v>
      </c>
      <c r="F95" s="42">
        <v>21.709538278931753</v>
      </c>
      <c r="G95" s="42">
        <v>21.709538278931753</v>
      </c>
      <c r="H95" s="42">
        <v>9.304087833827893</v>
      </c>
      <c r="I95" s="42">
        <v>15.506813056379823</v>
      </c>
      <c r="J95" s="42">
        <v>13.956131750741839</v>
      </c>
      <c r="K95" s="42">
        <v>15.506813056379823</v>
      </c>
      <c r="L95" s="42">
        <v>31.013626112759646</v>
      </c>
      <c r="M95" s="42">
        <v>24.810900890207716</v>
      </c>
      <c r="N95" s="42">
        <v>29.462944807121662</v>
      </c>
      <c r="O95" s="42">
        <v>20.158856973293769</v>
      </c>
      <c r="P95" s="42">
        <v>32.564307418397625</v>
      </c>
      <c r="Q95" s="42">
        <v>13.956131750741839</v>
      </c>
      <c r="R95" s="42">
        <v>23.260219584569732</v>
      </c>
      <c r="S95" s="42">
        <v>18.608175667655786</v>
      </c>
      <c r="T95" s="42">
        <v>7.7534065281899114</v>
      </c>
      <c r="U95" s="42">
        <v>1.5506813056379822</v>
      </c>
      <c r="V95" s="42">
        <v>0</v>
      </c>
      <c r="W95" s="42">
        <v>3.1013626112759645</v>
      </c>
      <c r="X95" s="42">
        <v>6.2027252225519289</v>
      </c>
      <c r="Y95" s="42">
        <v>0</v>
      </c>
      <c r="Z95" s="42">
        <v>0</v>
      </c>
      <c r="AA95" s="42">
        <v>1.5506813056379822</v>
      </c>
      <c r="AB95" s="42">
        <v>1.5506813056379822</v>
      </c>
      <c r="AC95" s="42">
        <v>0</v>
      </c>
      <c r="AD95"/>
    </row>
    <row r="96" spans="2:30" ht="15" x14ac:dyDescent="0.2">
      <c r="C96" s="34">
        <v>82</v>
      </c>
      <c r="D96" s="42">
        <v>14.829199785400592</v>
      </c>
      <c r="E96" s="42">
        <v>16.682849758575667</v>
      </c>
      <c r="F96" s="42">
        <v>16.682849758575667</v>
      </c>
      <c r="G96" s="42">
        <v>11.121899839050444</v>
      </c>
      <c r="H96" s="42">
        <v>7.4145998927002958</v>
      </c>
      <c r="I96" s="42">
        <v>31.512049543976257</v>
      </c>
      <c r="J96" s="42">
        <v>42.633949383026703</v>
      </c>
      <c r="K96" s="42">
        <v>40.780299409851629</v>
      </c>
      <c r="L96" s="42">
        <v>31.512049543976257</v>
      </c>
      <c r="M96" s="42">
        <v>22.243799678100888</v>
      </c>
      <c r="N96" s="42">
        <v>18.536499731750741</v>
      </c>
      <c r="O96" s="42">
        <v>20.390149704925815</v>
      </c>
      <c r="P96" s="42">
        <v>9.2682498658753705</v>
      </c>
      <c r="Q96" s="42">
        <v>22.243799678100888</v>
      </c>
      <c r="R96" s="42">
        <v>24.097449651275962</v>
      </c>
      <c r="S96" s="42">
        <v>16.682849758575667</v>
      </c>
      <c r="T96" s="42">
        <v>16.682849758575667</v>
      </c>
      <c r="U96" s="42">
        <v>16.682849758575667</v>
      </c>
      <c r="V96" s="42">
        <v>20.390149704925815</v>
      </c>
      <c r="W96" s="42">
        <v>11.121899839050444</v>
      </c>
      <c r="X96" s="42">
        <v>14.829199785400592</v>
      </c>
      <c r="Y96" s="42">
        <v>20.390149704925815</v>
      </c>
      <c r="Z96" s="42">
        <v>25.951099624451036</v>
      </c>
      <c r="AA96" s="42">
        <v>35.219349490326408</v>
      </c>
      <c r="AB96" s="42">
        <v>25.951099624451036</v>
      </c>
      <c r="AC96" s="42">
        <v>7.4145998927002958</v>
      </c>
      <c r="AD96"/>
    </row>
    <row r="97" spans="2:30" ht="15" x14ac:dyDescent="0.2">
      <c r="C97" s="34">
        <v>85</v>
      </c>
      <c r="D97" s="42">
        <v>1.9917639881305635</v>
      </c>
      <c r="E97" s="42">
        <v>1.9917639881305635</v>
      </c>
      <c r="F97" s="42">
        <v>1.9917639881305635</v>
      </c>
      <c r="G97" s="42">
        <v>1.9917639881305635</v>
      </c>
      <c r="H97" s="42">
        <v>0.39835279762611275</v>
      </c>
      <c r="I97" s="42">
        <v>0.79670559525222551</v>
      </c>
      <c r="J97" s="42">
        <v>0.59752919643916902</v>
      </c>
      <c r="K97" s="42">
        <v>0.79670559525222551</v>
      </c>
      <c r="L97" s="42">
        <v>1.9917639881305635</v>
      </c>
      <c r="M97" s="42">
        <v>1.9917639881305635</v>
      </c>
      <c r="N97" s="42">
        <v>1.9917639881305635</v>
      </c>
      <c r="O97" s="42">
        <v>3.9835279762611271</v>
      </c>
      <c r="P97" s="42">
        <v>7.9670559525222542</v>
      </c>
      <c r="Q97" s="42">
        <v>11.950583928783381</v>
      </c>
      <c r="R97" s="42">
        <v>23.901167857566762</v>
      </c>
      <c r="S97" s="42">
        <v>21.909403869436201</v>
      </c>
      <c r="T97" s="42">
        <v>55.769391667655782</v>
      </c>
      <c r="U97" s="42">
        <v>33.859987798219578</v>
      </c>
      <c r="V97" s="42">
        <v>35.851751786350142</v>
      </c>
      <c r="W97" s="42">
        <v>41.827043750741836</v>
      </c>
      <c r="X97" s="42">
        <v>39.835279762611272</v>
      </c>
      <c r="Y97" s="42">
        <v>69.711739584569727</v>
      </c>
      <c r="Z97" s="42">
        <v>71.703503572700285</v>
      </c>
      <c r="AA97" s="42">
        <v>31.868223810089017</v>
      </c>
      <c r="AB97" s="42">
        <v>27.884695833827891</v>
      </c>
      <c r="AC97" s="42">
        <v>51.785863691394653</v>
      </c>
      <c r="AD97"/>
    </row>
    <row r="98" spans="2:30" ht="15" x14ac:dyDescent="0.2">
      <c r="C98" s="34">
        <v>100</v>
      </c>
      <c r="D98" s="42">
        <v>2.756766765578635</v>
      </c>
      <c r="E98" s="42">
        <v>0</v>
      </c>
      <c r="F98" s="42">
        <v>0</v>
      </c>
      <c r="G98" s="42">
        <v>0.27567667655786349</v>
      </c>
      <c r="H98" s="42">
        <v>1.1027067062314539</v>
      </c>
      <c r="I98" s="42">
        <v>0.55135335311572697</v>
      </c>
      <c r="J98" s="42">
        <v>1.1027067062314539</v>
      </c>
      <c r="K98" s="42">
        <v>1.3783833827893175</v>
      </c>
      <c r="L98" s="42">
        <v>2.756766765578635</v>
      </c>
      <c r="M98" s="42">
        <v>0</v>
      </c>
      <c r="N98" s="42">
        <v>2.756766765578635</v>
      </c>
      <c r="O98" s="42">
        <v>0.27567667655786349</v>
      </c>
      <c r="P98" s="42"/>
      <c r="Q98" s="42"/>
      <c r="R98" s="42">
        <v>1.3783833827893175</v>
      </c>
      <c r="S98" s="42">
        <v>5.51353353115727</v>
      </c>
      <c r="T98" s="42">
        <v>2.756766765578635</v>
      </c>
      <c r="U98" s="42">
        <v>2.756766765578635</v>
      </c>
      <c r="V98" s="42">
        <v>2.756766765578635</v>
      </c>
      <c r="W98" s="42">
        <v>5.51353353115727</v>
      </c>
      <c r="X98" s="42">
        <v>2.756766765578635</v>
      </c>
      <c r="Y98" s="42">
        <v>2.756766765578635</v>
      </c>
      <c r="Z98" s="42">
        <v>2.756766765578635</v>
      </c>
      <c r="AA98" s="42"/>
      <c r="AB98" s="42">
        <v>2.756766765578635</v>
      </c>
      <c r="AC98" s="42">
        <v>2.756766765578635</v>
      </c>
      <c r="AD98"/>
    </row>
    <row r="99" spans="2:30" ht="15" x14ac:dyDescent="0.2">
      <c r="C99" s="34">
        <v>26</v>
      </c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>
        <v>0</v>
      </c>
      <c r="W99" s="42"/>
      <c r="X99" s="42"/>
      <c r="Y99" s="42"/>
      <c r="Z99" s="42"/>
      <c r="AA99" s="42"/>
      <c r="AB99" s="42"/>
      <c r="AC99" s="42"/>
      <c r="AD99"/>
    </row>
    <row r="100" spans="2:30" ht="15" x14ac:dyDescent="0.2">
      <c r="C100" s="34">
        <v>46</v>
      </c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>
        <v>0</v>
      </c>
      <c r="W100" s="42"/>
      <c r="X100" s="42"/>
      <c r="Y100" s="42"/>
      <c r="Z100" s="42"/>
      <c r="AA100" s="42"/>
      <c r="AB100" s="42"/>
      <c r="AC100" s="42"/>
      <c r="AD100"/>
    </row>
    <row r="101" spans="2:30" ht="15" x14ac:dyDescent="0.2">
      <c r="C101" s="34">
        <v>29</v>
      </c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>
        <v>0</v>
      </c>
      <c r="W101" s="42"/>
      <c r="X101" s="42"/>
      <c r="Y101" s="42"/>
      <c r="Z101" s="42"/>
      <c r="AA101" s="42"/>
      <c r="AB101" s="42"/>
      <c r="AC101" s="42"/>
      <c r="AD101"/>
    </row>
    <row r="102" spans="2:30" ht="15" x14ac:dyDescent="0.2">
      <c r="B102" s="34" t="s">
        <v>90</v>
      </c>
      <c r="D102" s="42">
        <v>1306.2352430617636</v>
      </c>
      <c r="E102" s="42">
        <v>1104.458703186915</v>
      </c>
      <c r="F102" s="42">
        <v>1659.585934923148</v>
      </c>
      <c r="G102" s="42">
        <v>1493.7644759665566</v>
      </c>
      <c r="H102" s="42">
        <v>1663.7750019159168</v>
      </c>
      <c r="I102" s="42">
        <v>1668.7582548191144</v>
      </c>
      <c r="J102" s="42">
        <v>1701.4502446470265</v>
      </c>
      <c r="K102" s="42">
        <v>1644.9867514863665</v>
      </c>
      <c r="L102" s="42">
        <v>1634.3644467044078</v>
      </c>
      <c r="M102" s="42">
        <v>1491.1251171407571</v>
      </c>
      <c r="N102" s="42">
        <v>1493.4559965222552</v>
      </c>
      <c r="O102" s="42">
        <v>1698.2839519081208</v>
      </c>
      <c r="P102" s="42">
        <v>1468.6438854114374</v>
      </c>
      <c r="Q102" s="42">
        <v>1322.3983265008237</v>
      </c>
      <c r="R102" s="42">
        <v>1522.5867509341247</v>
      </c>
      <c r="S102" s="42">
        <v>1386.9395597996438</v>
      </c>
      <c r="T102" s="42">
        <v>1254.4366679188131</v>
      </c>
      <c r="U102" s="42">
        <v>1363.8957464061721</v>
      </c>
      <c r="V102" s="42">
        <v>1337.7431271311573</v>
      </c>
      <c r="W102" s="42">
        <v>1337.4462233505044</v>
      </c>
      <c r="X102" s="42">
        <v>1257.88069663905</v>
      </c>
      <c r="Y102" s="42">
        <v>1269.3298246931752</v>
      </c>
      <c r="Z102" s="42">
        <v>1461.0229801210683</v>
      </c>
      <c r="AA102" s="42">
        <v>1463.5964218967358</v>
      </c>
      <c r="AB102" s="42">
        <v>1088.0842639534717</v>
      </c>
      <c r="AC102" s="42">
        <v>1165.3561607159647</v>
      </c>
      <c r="AD102"/>
    </row>
    <row r="103" spans="2:30" ht="15" x14ac:dyDescent="0.2">
      <c r="B103" s="34" t="s">
        <v>5</v>
      </c>
      <c r="C103" s="34">
        <v>32</v>
      </c>
      <c r="D103" s="42">
        <v>100.21398546231453</v>
      </c>
      <c r="E103" s="42">
        <v>112.91716671810089</v>
      </c>
      <c r="F103" s="42">
        <v>127.03181255786349</v>
      </c>
      <c r="G103" s="42">
        <v>71.984693782789307</v>
      </c>
      <c r="H103" s="42">
        <v>36.415786266587531</v>
      </c>
      <c r="I103" s="42">
        <v>117.43385338682492</v>
      </c>
      <c r="J103" s="42">
        <v>105.57755088142433</v>
      </c>
      <c r="K103" s="42">
        <v>84.687875038575655</v>
      </c>
      <c r="L103" s="42">
        <v>87.510804206528178</v>
      </c>
      <c r="M103" s="42">
        <v>87.510804206528178</v>
      </c>
      <c r="N103" s="42">
        <v>80.453481286646877</v>
      </c>
      <c r="O103" s="42">
        <v>84.687875038575655</v>
      </c>
      <c r="P103" s="42">
        <v>77.630552118694354</v>
      </c>
      <c r="Q103" s="42">
        <v>84.687875038575655</v>
      </c>
      <c r="R103" s="42">
        <v>98.802520878338271</v>
      </c>
      <c r="S103" s="42">
        <v>119.12761088759643</v>
      </c>
      <c r="T103" s="42">
        <v>116.30468171964391</v>
      </c>
      <c r="U103" s="42">
        <v>105.85984379821957</v>
      </c>
      <c r="V103" s="42">
        <v>96.261884627181004</v>
      </c>
      <c r="W103" s="42">
        <v>110.09423755014836</v>
      </c>
      <c r="X103" s="42">
        <v>81.864945870623146</v>
      </c>
      <c r="Y103" s="42">
        <v>102.47232879667655</v>
      </c>
      <c r="Z103" s="42">
        <v>108.6827729661721</v>
      </c>
      <c r="AA103" s="42">
        <v>135.50060006172106</v>
      </c>
      <c r="AB103" s="42">
        <v>76.219087534718099</v>
      </c>
      <c r="AC103" s="42">
        <v>78.759723785875366</v>
      </c>
      <c r="AD103"/>
    </row>
    <row r="104" spans="2:30" ht="15" x14ac:dyDescent="0.2">
      <c r="C104" s="34">
        <v>42</v>
      </c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>
        <v>0</v>
      </c>
      <c r="W104" s="42"/>
      <c r="X104" s="42"/>
      <c r="Y104" s="42"/>
      <c r="Z104" s="42"/>
      <c r="AA104" s="42"/>
      <c r="AB104" s="42"/>
      <c r="AC104" s="42"/>
      <c r="AD104"/>
    </row>
    <row r="105" spans="2:30" ht="15" x14ac:dyDescent="0.2">
      <c r="C105" s="34">
        <v>43</v>
      </c>
      <c r="D105" s="42">
        <v>326.22475197151334</v>
      </c>
      <c r="E105" s="42">
        <v>295.64118147418395</v>
      </c>
      <c r="F105" s="42">
        <v>392.48915471572695</v>
      </c>
      <c r="G105" s="42">
        <v>244.66856397863498</v>
      </c>
      <c r="H105" s="42">
        <v>198.79320823264092</v>
      </c>
      <c r="I105" s="42">
        <v>267.60624185163203</v>
      </c>
      <c r="J105" s="42">
        <v>147.82059073709198</v>
      </c>
      <c r="K105" s="42">
        <v>201.34183910741837</v>
      </c>
      <c r="L105" s="42">
        <v>186.0500538587537</v>
      </c>
      <c r="M105" s="42">
        <v>201.34183910741837</v>
      </c>
      <c r="N105" s="42">
        <v>164.64155451062314</v>
      </c>
      <c r="O105" s="42">
        <v>178.40416123442134</v>
      </c>
      <c r="P105" s="42">
        <v>228.35732638005931</v>
      </c>
      <c r="Q105" s="42">
        <v>196.24457735786348</v>
      </c>
      <c r="R105" s="42">
        <v>224.78924315537088</v>
      </c>
      <c r="S105" s="42">
        <v>216.12389818112757</v>
      </c>
      <c r="T105" s="42">
        <v>249.25609955323438</v>
      </c>
      <c r="U105" s="42">
        <v>162.09292363584566</v>
      </c>
      <c r="V105" s="42">
        <v>121.31482963940651</v>
      </c>
      <c r="W105" s="42">
        <v>142.72332898753709</v>
      </c>
      <c r="X105" s="42">
        <v>138.13579341293766</v>
      </c>
      <c r="Y105" s="42">
        <v>151.3886739617804</v>
      </c>
      <c r="Z105" s="42">
        <v>184.01114915893172</v>
      </c>
      <c r="AA105" s="42">
        <v>179.42361358433232</v>
      </c>
      <c r="AB105" s="42">
        <v>156.99566188629078</v>
      </c>
      <c r="AC105" s="42">
        <v>148.84004308700295</v>
      </c>
      <c r="AD105"/>
    </row>
    <row r="106" spans="2:30" ht="15" x14ac:dyDescent="0.2">
      <c r="C106" s="34">
        <v>49</v>
      </c>
      <c r="D106" s="42">
        <v>225.04589814124628</v>
      </c>
      <c r="E106" s="42">
        <v>211.80790413293767</v>
      </c>
      <c r="F106" s="42">
        <v>251.52188615786349</v>
      </c>
      <c r="G106" s="42">
        <v>158.85592809970325</v>
      </c>
      <c r="H106" s="42">
        <v>148.92743259347179</v>
      </c>
      <c r="I106" s="42">
        <v>178.71291911216616</v>
      </c>
      <c r="J106" s="42">
        <v>208.49840563086053</v>
      </c>
      <c r="K106" s="42">
        <v>213.13170353376853</v>
      </c>
      <c r="L106" s="42">
        <v>185.33191611632046</v>
      </c>
      <c r="M106" s="42">
        <v>199.23180982504451</v>
      </c>
      <c r="N106" s="42">
        <v>218.42690113709199</v>
      </c>
      <c r="O106" s="42">
        <v>198.56991012462908</v>
      </c>
      <c r="P106" s="42">
        <v>164.15112570302671</v>
      </c>
      <c r="Q106" s="42">
        <v>152.23693109554895</v>
      </c>
      <c r="R106" s="42">
        <v>171.43202240759643</v>
      </c>
      <c r="S106" s="42">
        <v>60.232872737804151</v>
      </c>
      <c r="T106" s="42">
        <v>96.637356260652808</v>
      </c>
      <c r="U106" s="42">
        <v>48.980577830741836</v>
      </c>
      <c r="V106" s="42">
        <v>41.037781425756677</v>
      </c>
      <c r="W106" s="42">
        <v>29.785486518694359</v>
      </c>
      <c r="X106" s="42">
        <v>19.856991012462906</v>
      </c>
      <c r="Y106" s="42">
        <v>31.771185619940653</v>
      </c>
      <c r="Z106" s="42">
        <v>27.13788771703264</v>
      </c>
      <c r="AA106" s="42">
        <v>37.06638322326409</v>
      </c>
      <c r="AB106" s="42">
        <v>37.06638322326409</v>
      </c>
      <c r="AC106" s="42">
        <v>33.756884721186942</v>
      </c>
      <c r="AD106"/>
    </row>
    <row r="107" spans="2:30" ht="15" x14ac:dyDescent="0.2">
      <c r="C107" s="34">
        <v>50</v>
      </c>
      <c r="D107" s="42">
        <v>3.4459584569732939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42">
        <v>0</v>
      </c>
      <c r="O107" s="42">
        <v>0</v>
      </c>
      <c r="P107" s="42"/>
      <c r="Q107" s="42"/>
      <c r="R107" s="42"/>
      <c r="S107" s="42">
        <v>1.3783833827893175</v>
      </c>
      <c r="T107" s="42">
        <v>110.27067062314541</v>
      </c>
      <c r="U107" s="42">
        <v>120.60854599406528</v>
      </c>
      <c r="V107" s="42">
        <v>111.64905400593472</v>
      </c>
      <c r="W107" s="42">
        <v>110.27067062314541</v>
      </c>
      <c r="X107" s="42">
        <v>150.2437887240356</v>
      </c>
      <c r="Y107" s="42">
        <v>129.56803798219585</v>
      </c>
      <c r="Z107" s="42">
        <v>130.2572296735905</v>
      </c>
      <c r="AA107" s="42">
        <v>102.68956201780415</v>
      </c>
      <c r="AB107" s="42">
        <v>82.703002967359055</v>
      </c>
      <c r="AC107" s="42">
        <v>112.33824569732937</v>
      </c>
      <c r="AD107"/>
    </row>
    <row r="108" spans="2:30" ht="15" x14ac:dyDescent="0.2">
      <c r="C108" s="34">
        <v>55</v>
      </c>
      <c r="D108" s="42">
        <v>400.28253436201771</v>
      </c>
      <c r="E108" s="42">
        <v>375.26487596439159</v>
      </c>
      <c r="F108" s="42">
        <v>508.69238741839752</v>
      </c>
      <c r="G108" s="42">
        <v>366.92565649851628</v>
      </c>
      <c r="H108" s="42">
        <v>283.53346183976254</v>
      </c>
      <c r="I108" s="42">
        <v>508.69238741839752</v>
      </c>
      <c r="J108" s="42">
        <v>450.31785115726996</v>
      </c>
      <c r="K108" s="42">
        <v>562.06339199999991</v>
      </c>
      <c r="L108" s="42">
        <v>537.8796555489613</v>
      </c>
      <c r="M108" s="42">
        <v>533.71004581602369</v>
      </c>
      <c r="N108" s="42">
        <v>496.18355821958448</v>
      </c>
      <c r="O108" s="42">
        <v>500.35316795252214</v>
      </c>
      <c r="P108" s="42">
        <v>437.80902195845687</v>
      </c>
      <c r="Q108" s="42">
        <v>533.71004581602369</v>
      </c>
      <c r="R108" s="42">
        <v>607.92909906231444</v>
      </c>
      <c r="S108" s="42">
        <v>633.78067940652807</v>
      </c>
      <c r="T108" s="42">
        <v>606.2612551691393</v>
      </c>
      <c r="U108" s="42">
        <v>583.74536261127582</v>
      </c>
      <c r="V108" s="42">
        <v>487.01041680712154</v>
      </c>
      <c r="W108" s="42">
        <v>466.9962900890207</v>
      </c>
      <c r="X108" s="42">
        <v>517.03160688427295</v>
      </c>
      <c r="Y108" s="42">
        <v>530.37435802967354</v>
      </c>
      <c r="Z108" s="42">
        <v>504.52277768545986</v>
      </c>
      <c r="AA108" s="42">
        <v>366.09173455192871</v>
      </c>
      <c r="AB108" s="42">
        <v>514.52984104451025</v>
      </c>
      <c r="AC108" s="42">
        <v>451.98569505044503</v>
      </c>
      <c r="AD108"/>
    </row>
    <row r="109" spans="2:30" ht="15" x14ac:dyDescent="0.2">
      <c r="C109" s="34">
        <v>60</v>
      </c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>
        <v>0</v>
      </c>
      <c r="W109" s="42"/>
      <c r="X109" s="42"/>
      <c r="Y109" s="42"/>
      <c r="Z109" s="42"/>
      <c r="AA109" s="42"/>
      <c r="AB109" s="42"/>
      <c r="AC109" s="42"/>
      <c r="AD109"/>
    </row>
    <row r="110" spans="2:30" ht="15" x14ac:dyDescent="0.2">
      <c r="C110" s="34">
        <v>65</v>
      </c>
      <c r="D110" s="42">
        <v>198.00477293768543</v>
      </c>
      <c r="E110" s="42">
        <v>244.59413127596437</v>
      </c>
      <c r="F110" s="42">
        <v>232.94679169139462</v>
      </c>
      <c r="G110" s="42">
        <v>163.06275418397624</v>
      </c>
      <c r="H110" s="42">
        <v>110.64972605341245</v>
      </c>
      <c r="I110" s="42">
        <v>232.94679169139462</v>
      </c>
      <c r="J110" s="42">
        <v>186.35743335311571</v>
      </c>
      <c r="K110" s="42">
        <v>168.88642397626111</v>
      </c>
      <c r="L110" s="42">
        <v>180.53376356083083</v>
      </c>
      <c r="M110" s="42">
        <v>163.06275418397624</v>
      </c>
      <c r="N110" s="42">
        <v>124.62653355489613</v>
      </c>
      <c r="O110" s="42">
        <v>128.12073543026705</v>
      </c>
      <c r="P110" s="42">
        <v>151.41541459940652</v>
      </c>
      <c r="Q110" s="42">
        <v>151.41541459940652</v>
      </c>
      <c r="R110" s="42">
        <v>175.87482772700295</v>
      </c>
      <c r="S110" s="42">
        <v>234.11152564985161</v>
      </c>
      <c r="T110" s="42">
        <v>165.39222210089019</v>
      </c>
      <c r="U110" s="42">
        <v>232.94679169139462</v>
      </c>
      <c r="V110" s="42">
        <v>193.34583710385755</v>
      </c>
      <c r="W110" s="42">
        <v>174.71009376854596</v>
      </c>
      <c r="X110" s="42">
        <v>166.55695605934716</v>
      </c>
      <c r="Y110" s="42">
        <v>230.6173237744807</v>
      </c>
      <c r="Z110" s="42">
        <v>164.2274881424332</v>
      </c>
      <c r="AA110" s="42">
        <v>168.88642397626111</v>
      </c>
      <c r="AB110" s="42">
        <v>206.15791064688423</v>
      </c>
      <c r="AC110" s="42">
        <v>196.84003897922847</v>
      </c>
      <c r="AD110"/>
    </row>
    <row r="111" spans="2:30" ht="15" x14ac:dyDescent="0.2">
      <c r="C111" s="34">
        <v>75</v>
      </c>
      <c r="D111" s="42">
        <v>62.027252225519291</v>
      </c>
      <c r="E111" s="42">
        <v>86.83815311572701</v>
      </c>
      <c r="F111" s="42">
        <v>108.54769139465876</v>
      </c>
      <c r="G111" s="42">
        <v>77.534065281899117</v>
      </c>
      <c r="H111" s="42">
        <v>62.027252225519291</v>
      </c>
      <c r="I111" s="42">
        <v>85.287471810089016</v>
      </c>
      <c r="J111" s="42">
        <v>88.38883442136499</v>
      </c>
      <c r="K111" s="42">
        <v>77.534065281899117</v>
      </c>
      <c r="L111" s="42">
        <v>69.780658753709204</v>
      </c>
      <c r="M111" s="42">
        <v>41.868395252225518</v>
      </c>
      <c r="N111" s="42">
        <v>35.665670029673592</v>
      </c>
      <c r="O111" s="42">
        <v>38.767032640949559</v>
      </c>
      <c r="P111" s="42">
        <v>49.621801780415431</v>
      </c>
      <c r="Q111" s="42">
        <v>20.158856973293769</v>
      </c>
      <c r="R111" s="42">
        <v>15.506813056379823</v>
      </c>
      <c r="S111" s="42">
        <v>38.767032640949559</v>
      </c>
      <c r="T111" s="42">
        <v>26.361582195845699</v>
      </c>
      <c r="U111" s="42">
        <v>21.709538278931753</v>
      </c>
      <c r="V111" s="42">
        <v>38.767032640949559</v>
      </c>
      <c r="W111" s="42">
        <v>31.013626112759646</v>
      </c>
      <c r="X111" s="42">
        <v>51.172483086053411</v>
      </c>
      <c r="Y111" s="42">
        <v>37.216351335311572</v>
      </c>
      <c r="Z111" s="42">
        <v>38.767032640949559</v>
      </c>
      <c r="AA111" s="42">
        <v>44.969757863501485</v>
      </c>
      <c r="AB111" s="42">
        <v>26.361582195845699</v>
      </c>
      <c r="AC111" s="42">
        <v>27.912263501483679</v>
      </c>
      <c r="AD111"/>
    </row>
    <row r="112" spans="2:30" ht="15" x14ac:dyDescent="0.2">
      <c r="C112" s="34">
        <v>82</v>
      </c>
      <c r="D112" s="42">
        <v>1.853649973175074</v>
      </c>
      <c r="E112" s="42">
        <v>3.7072999463501479</v>
      </c>
      <c r="F112" s="42">
        <v>1.853649973175074</v>
      </c>
      <c r="G112" s="42">
        <v>1.853649973175074</v>
      </c>
      <c r="H112" s="42">
        <v>0</v>
      </c>
      <c r="I112" s="42">
        <v>0</v>
      </c>
      <c r="J112" s="42">
        <v>0</v>
      </c>
      <c r="K112" s="42">
        <v>0</v>
      </c>
      <c r="L112" s="42">
        <v>0</v>
      </c>
      <c r="M112" s="42">
        <v>5.5609499195252221</v>
      </c>
      <c r="N112" s="42">
        <v>5.5609499195252221</v>
      </c>
      <c r="O112" s="42">
        <v>3.7072999463501479</v>
      </c>
      <c r="P112" s="42">
        <v>5.5609499195252221</v>
      </c>
      <c r="Q112" s="42">
        <v>5.5609499195252221</v>
      </c>
      <c r="R112" s="42">
        <v>7.4145998927002958</v>
      </c>
      <c r="S112" s="42">
        <v>0</v>
      </c>
      <c r="T112" s="42">
        <v>1.853649973175074</v>
      </c>
      <c r="U112" s="42">
        <v>1.853649973175074</v>
      </c>
      <c r="V112" s="42">
        <v>0.37072999463501483</v>
      </c>
      <c r="W112" s="42"/>
      <c r="X112" s="42"/>
      <c r="Y112" s="42"/>
      <c r="Z112" s="42"/>
      <c r="AA112" s="42"/>
      <c r="AB112" s="42"/>
      <c r="AC112" s="42"/>
      <c r="AD112"/>
    </row>
    <row r="113" spans="2:30" ht="15" x14ac:dyDescent="0.2">
      <c r="C113" s="34">
        <v>86</v>
      </c>
      <c r="D113" s="42">
        <v>50.972617495548953</v>
      </c>
      <c r="E113" s="42">
        <v>71.361664493768544</v>
      </c>
      <c r="F113" s="42">
        <v>67.283855094124618</v>
      </c>
      <c r="G113" s="42">
        <v>57.089331595014826</v>
      </c>
      <c r="H113" s="42">
        <v>73.400569193590499</v>
      </c>
      <c r="I113" s="42">
        <v>91.750711491988113</v>
      </c>
      <c r="J113" s="42">
        <v>132.52880548842728</v>
      </c>
      <c r="K113" s="42">
        <v>181.46251828415427</v>
      </c>
      <c r="L113" s="42">
        <v>193.69594648308603</v>
      </c>
      <c r="M113" s="42">
        <v>146.801138387181</v>
      </c>
      <c r="N113" s="42">
        <v>154.95675718646882</v>
      </c>
      <c r="O113" s="42">
        <v>142.72332898753709</v>
      </c>
      <c r="P113" s="42">
        <v>177.38470888451036</v>
      </c>
      <c r="Q113" s="42">
        <v>108.06194909056379</v>
      </c>
      <c r="R113" s="42">
        <v>122.33428198931749</v>
      </c>
      <c r="S113" s="42">
        <v>179.42361358433232</v>
      </c>
      <c r="T113" s="42">
        <v>201.85156528237385</v>
      </c>
      <c r="U113" s="42">
        <v>244.66856397863498</v>
      </c>
      <c r="V113" s="42">
        <v>205.92937468201777</v>
      </c>
      <c r="W113" s="42">
        <v>203.89046998219581</v>
      </c>
      <c r="X113" s="42">
        <v>214.08499348130562</v>
      </c>
      <c r="Y113" s="42">
        <v>244.66856397863498</v>
      </c>
      <c r="Z113" s="42">
        <v>250.78527807810087</v>
      </c>
      <c r="AA113" s="42">
        <v>181.46251828415427</v>
      </c>
      <c r="AB113" s="42">
        <v>179.42361358433232</v>
      </c>
      <c r="AC113" s="42">
        <v>171.26799478504449</v>
      </c>
      <c r="AD113"/>
    </row>
    <row r="114" spans="2:30" ht="15" x14ac:dyDescent="0.2">
      <c r="C114" s="34">
        <v>98</v>
      </c>
      <c r="D114" s="42">
        <v>5.2951976033234418</v>
      </c>
      <c r="E114" s="42">
        <v>5.2951976033234418</v>
      </c>
      <c r="F114" s="42">
        <v>7.9427964049851632</v>
      </c>
      <c r="G114" s="42">
        <v>5.2951976033234418</v>
      </c>
      <c r="H114" s="42">
        <v>2.6475988016617209</v>
      </c>
      <c r="I114" s="42">
        <v>2.6475988016617209</v>
      </c>
      <c r="J114" s="42">
        <v>5.2951976033234418</v>
      </c>
      <c r="K114" s="42">
        <v>2.6475988016617209</v>
      </c>
      <c r="L114" s="42">
        <v>5.2951976033234418</v>
      </c>
      <c r="M114" s="42">
        <v>7.9427964049851632</v>
      </c>
      <c r="N114" s="42">
        <v>7.9427964049851632</v>
      </c>
      <c r="O114" s="42">
        <v>7.9427964049851632</v>
      </c>
      <c r="P114" s="42">
        <v>5.2951976033234418</v>
      </c>
      <c r="Q114" s="42">
        <v>2.6475988016617209</v>
      </c>
      <c r="R114" s="42">
        <v>5.2951976033234418</v>
      </c>
      <c r="S114" s="42">
        <v>10.590395206646884</v>
      </c>
      <c r="T114" s="42">
        <v>7.9427964049851632</v>
      </c>
      <c r="U114" s="42">
        <v>13.237994008308604</v>
      </c>
      <c r="V114" s="42">
        <v>7.9427964049851632</v>
      </c>
      <c r="W114" s="42">
        <v>10.590395206646884</v>
      </c>
      <c r="X114" s="42">
        <v>2.6475988016617209</v>
      </c>
      <c r="Y114" s="42">
        <v>5.2951976033234409</v>
      </c>
      <c r="Z114" s="42">
        <v>7.9427964049851632</v>
      </c>
      <c r="AA114" s="42">
        <v>5.2951976033234418</v>
      </c>
      <c r="AB114" s="42">
        <v>7.9427964049851632</v>
      </c>
      <c r="AC114" s="42">
        <v>5.2951976033234418</v>
      </c>
      <c r="AD114"/>
    </row>
    <row r="115" spans="2:30" ht="15" x14ac:dyDescent="0.2">
      <c r="C115" s="34">
        <v>26</v>
      </c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>
        <v>0</v>
      </c>
      <c r="W115" s="42"/>
      <c r="X115" s="42"/>
      <c r="Y115" s="42"/>
      <c r="Z115" s="42"/>
      <c r="AA115" s="42"/>
      <c r="AB115" s="42"/>
      <c r="AC115" s="42"/>
      <c r="AD115"/>
    </row>
    <row r="116" spans="2:30" ht="15" x14ac:dyDescent="0.2">
      <c r="C116" s="34">
        <v>37</v>
      </c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>
        <v>0</v>
      </c>
      <c r="W116" s="42"/>
      <c r="X116" s="42"/>
      <c r="Y116" s="42"/>
      <c r="Z116" s="42"/>
      <c r="AA116" s="42"/>
      <c r="AB116" s="42"/>
      <c r="AC116" s="42"/>
      <c r="AD116"/>
    </row>
    <row r="117" spans="2:30" ht="15" x14ac:dyDescent="0.2">
      <c r="C117" s="34">
        <v>47</v>
      </c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>
        <v>0</v>
      </c>
      <c r="W117" s="42"/>
      <c r="X117" s="42"/>
      <c r="Y117" s="42"/>
      <c r="Z117" s="42"/>
      <c r="AA117" s="42"/>
      <c r="AB117" s="42"/>
      <c r="AC117" s="42"/>
      <c r="AD117"/>
    </row>
    <row r="118" spans="2:30" ht="15" x14ac:dyDescent="0.2">
      <c r="C118" s="34">
        <v>79</v>
      </c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>
        <v>0</v>
      </c>
      <c r="W118" s="42"/>
      <c r="X118" s="42"/>
      <c r="Y118" s="42"/>
      <c r="Z118" s="42"/>
      <c r="AA118" s="42"/>
      <c r="AB118" s="42"/>
      <c r="AC118" s="42"/>
      <c r="AD118"/>
    </row>
    <row r="119" spans="2:30" ht="15" x14ac:dyDescent="0.2">
      <c r="C119" s="34">
        <v>84</v>
      </c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>
        <v>0</v>
      </c>
      <c r="W119" s="42"/>
      <c r="X119" s="42"/>
      <c r="Y119" s="42"/>
      <c r="Z119" s="42"/>
      <c r="AA119" s="42"/>
      <c r="AB119" s="42"/>
      <c r="AC119" s="42"/>
      <c r="AD119"/>
    </row>
    <row r="120" spans="2:30" ht="15" x14ac:dyDescent="0.2">
      <c r="B120" s="34" t="s">
        <v>91</v>
      </c>
      <c r="D120" s="42">
        <v>1373.3666186293176</v>
      </c>
      <c r="E120" s="42">
        <v>1407.4275747247475</v>
      </c>
      <c r="F120" s="42">
        <v>1698.3100254081896</v>
      </c>
      <c r="G120" s="42">
        <v>1147.2698409970326</v>
      </c>
      <c r="H120" s="42">
        <v>916.39503520664675</v>
      </c>
      <c r="I120" s="42">
        <v>1485.0779755641538</v>
      </c>
      <c r="J120" s="42">
        <v>1324.7846692728781</v>
      </c>
      <c r="K120" s="42">
        <v>1491.7554160237385</v>
      </c>
      <c r="L120" s="42">
        <v>1446.0779961315134</v>
      </c>
      <c r="M120" s="42">
        <v>1387.0305331029078</v>
      </c>
      <c r="N120" s="42">
        <v>1288.4582022494953</v>
      </c>
      <c r="O120" s="42">
        <v>1283.2763077602372</v>
      </c>
      <c r="P120" s="42">
        <v>1297.2260989474182</v>
      </c>
      <c r="Q120" s="42">
        <v>1254.7241986924628</v>
      </c>
      <c r="R120" s="42">
        <v>1429.3786057723441</v>
      </c>
      <c r="S120" s="42">
        <v>1493.536011677626</v>
      </c>
      <c r="T120" s="42">
        <v>1582.1318792830859</v>
      </c>
      <c r="U120" s="42">
        <v>1535.7037918005931</v>
      </c>
      <c r="V120" s="42">
        <v>1303.6297373318455</v>
      </c>
      <c r="W120" s="42">
        <v>1280.0745988386941</v>
      </c>
      <c r="X120" s="42">
        <v>1341.5951573327002</v>
      </c>
      <c r="Y120" s="42">
        <v>1463.3720210820177</v>
      </c>
      <c r="Z120" s="42">
        <v>1416.3344124676555</v>
      </c>
      <c r="AA120" s="42">
        <v>1221.3857911662906</v>
      </c>
      <c r="AB120" s="42">
        <v>1287.3998794881898</v>
      </c>
      <c r="AC120" s="42">
        <v>1226.9960872109198</v>
      </c>
      <c r="AD120"/>
    </row>
    <row r="121" spans="2:30" ht="15" x14ac:dyDescent="0.2">
      <c r="B121" s="34" t="s">
        <v>6</v>
      </c>
      <c r="C121" s="34">
        <v>32</v>
      </c>
      <c r="D121" s="42">
        <v>220.18847510029673</v>
      </c>
      <c r="E121" s="42">
        <v>197.60504175667654</v>
      </c>
      <c r="F121" s="42">
        <v>256.88655428367952</v>
      </c>
      <c r="G121" s="42">
        <v>111.50570213412462</v>
      </c>
      <c r="H121" s="42">
        <v>223.01140426824924</v>
      </c>
      <c r="I121" s="42">
        <v>282.85750262884272</v>
      </c>
      <c r="J121" s="42">
        <v>279.4699876272997</v>
      </c>
      <c r="K121" s="42">
        <v>306.28781472284862</v>
      </c>
      <c r="L121" s="42">
        <v>241.07815094314537</v>
      </c>
      <c r="M121" s="42">
        <v>214.54261676439168</v>
      </c>
      <c r="N121" s="42">
        <v>153.28505381982194</v>
      </c>
      <c r="O121" s="42">
        <v>287.37418929756672</v>
      </c>
      <c r="P121" s="42">
        <v>2.8229291679525219</v>
      </c>
      <c r="Q121" s="42"/>
      <c r="R121" s="42">
        <v>66.056542530089018</v>
      </c>
      <c r="S121" s="42">
        <v>101.62545004629079</v>
      </c>
      <c r="T121" s="42">
        <v>100.49627837910978</v>
      </c>
      <c r="U121" s="42">
        <v>79.606602536261121</v>
      </c>
      <c r="V121" s="42">
        <v>33.875150015430265</v>
      </c>
      <c r="W121" s="42">
        <v>69.726350448427297</v>
      </c>
      <c r="X121" s="42">
        <v>69.161764614836784</v>
      </c>
      <c r="Y121" s="42">
        <v>57.870047943026698</v>
      </c>
      <c r="Z121" s="42">
        <v>52.788775440712165</v>
      </c>
      <c r="AA121" s="42">
        <v>80.17118836985162</v>
      </c>
      <c r="AB121" s="42">
        <v>41.779351685697328</v>
      </c>
      <c r="AC121" s="42">
        <v>46.296038354421363</v>
      </c>
      <c r="AD121"/>
    </row>
    <row r="122" spans="2:30" x14ac:dyDescent="0.15">
      <c r="C122" s="34">
        <v>40</v>
      </c>
      <c r="D122" s="42">
        <v>63.956988961424329</v>
      </c>
      <c r="E122" s="42">
        <v>67.48565042136498</v>
      </c>
      <c r="F122" s="42">
        <v>83.805709673590499</v>
      </c>
      <c r="G122" s="42">
        <v>75.866221388724028</v>
      </c>
      <c r="H122" s="42">
        <v>37.492028011869436</v>
      </c>
      <c r="I122" s="42">
        <v>8.8216536498516316</v>
      </c>
      <c r="J122" s="42">
        <v>26.906043632047478</v>
      </c>
      <c r="K122" s="42">
        <v>13.232480474777448</v>
      </c>
      <c r="L122" s="42">
        <v>0</v>
      </c>
      <c r="M122" s="42">
        <v>0</v>
      </c>
      <c r="N122" s="42">
        <v>0</v>
      </c>
      <c r="O122" s="42">
        <v>0</v>
      </c>
      <c r="P122" s="42"/>
      <c r="Q122" s="42"/>
      <c r="R122" s="42"/>
      <c r="S122" s="42"/>
      <c r="T122" s="42"/>
      <c r="U122" s="42"/>
      <c r="V122" s="42">
        <v>0</v>
      </c>
      <c r="W122" s="42"/>
      <c r="X122" s="42"/>
      <c r="Y122" s="42"/>
      <c r="Z122" s="42"/>
      <c r="AA122" s="42"/>
      <c r="AB122" s="42"/>
      <c r="AC122" s="42"/>
    </row>
    <row r="123" spans="2:30" x14ac:dyDescent="0.15">
      <c r="C123" s="34">
        <v>43</v>
      </c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>
        <v>0</v>
      </c>
      <c r="W123" s="42"/>
      <c r="X123" s="42"/>
      <c r="Y123" s="42"/>
      <c r="Z123" s="42"/>
      <c r="AA123" s="42"/>
      <c r="AB123" s="42"/>
      <c r="AC123" s="42"/>
    </row>
    <row r="124" spans="2:30" x14ac:dyDescent="0.15">
      <c r="C124" s="34">
        <v>49</v>
      </c>
      <c r="D124" s="42">
        <v>92.665958058160228</v>
      </c>
      <c r="E124" s="42">
        <v>125.76094307893175</v>
      </c>
      <c r="F124" s="42">
        <v>132.37994008308604</v>
      </c>
      <c r="G124" s="42">
        <v>69.499468543620168</v>
      </c>
      <c r="H124" s="42">
        <v>72.808967045697329</v>
      </c>
      <c r="I124" s="42">
        <v>67.513769442373885</v>
      </c>
      <c r="J124" s="42">
        <v>93.989757458991093</v>
      </c>
      <c r="K124" s="42">
        <v>80.751763450682489</v>
      </c>
      <c r="L124" s="42">
        <v>53.613875733649849</v>
      </c>
      <c r="M124" s="42">
        <v>66.18997004154302</v>
      </c>
      <c r="N124" s="42">
        <v>43.023480527002967</v>
      </c>
      <c r="O124" s="42">
        <v>95.975456560237376</v>
      </c>
      <c r="P124" s="42"/>
      <c r="Q124" s="42"/>
      <c r="R124" s="42"/>
      <c r="S124" s="42"/>
      <c r="T124" s="42"/>
      <c r="U124" s="42"/>
      <c r="V124" s="42">
        <v>0</v>
      </c>
      <c r="W124" s="42"/>
      <c r="X124" s="42"/>
      <c r="Y124" s="42"/>
      <c r="Z124" s="42"/>
      <c r="AA124" s="42"/>
      <c r="AB124" s="42"/>
      <c r="AC124" s="42"/>
    </row>
    <row r="125" spans="2:30" x14ac:dyDescent="0.15">
      <c r="C125" s="34">
        <v>55</v>
      </c>
      <c r="D125" s="42">
        <v>400.28253436201771</v>
      </c>
      <c r="E125" s="42">
        <v>436.14117806528179</v>
      </c>
      <c r="F125" s="42">
        <v>447.81608531750732</v>
      </c>
      <c r="G125" s="42">
        <v>266.85502290801185</v>
      </c>
      <c r="H125" s="42">
        <v>494.51571432640941</v>
      </c>
      <c r="I125" s="42">
        <v>608.763021008902</v>
      </c>
      <c r="J125" s="42">
        <v>525.37082635014826</v>
      </c>
      <c r="K125" s="42">
        <v>562.89731394658747</v>
      </c>
      <c r="L125" s="42">
        <v>558.72770421364976</v>
      </c>
      <c r="M125" s="42">
        <v>489.51218264688418</v>
      </c>
      <c r="N125" s="42">
        <v>462.82668035608299</v>
      </c>
      <c r="O125" s="42">
        <v>558.72770421364976</v>
      </c>
      <c r="P125" s="42">
        <v>150.10595038575664</v>
      </c>
      <c r="Q125" s="42">
        <v>120.91868225519285</v>
      </c>
      <c r="R125" s="42">
        <v>83.392194658753695</v>
      </c>
      <c r="S125" s="42">
        <v>191.80204771513348</v>
      </c>
      <c r="T125" s="42">
        <v>123.42044809495546</v>
      </c>
      <c r="U125" s="42">
        <v>190.13420382195841</v>
      </c>
      <c r="V125" s="42">
        <v>195.13773550148363</v>
      </c>
      <c r="W125" s="42">
        <v>197.63950134124624</v>
      </c>
      <c r="X125" s="42">
        <v>336.07054447477736</v>
      </c>
      <c r="Y125" s="42">
        <v>321.89387138278926</v>
      </c>
      <c r="Z125" s="42">
        <v>109.24377500296734</v>
      </c>
      <c r="AA125" s="42">
        <v>155.9434040118694</v>
      </c>
      <c r="AB125" s="42">
        <v>323.56171527596433</v>
      </c>
      <c r="AC125" s="42">
        <v>241.8373645103857</v>
      </c>
    </row>
    <row r="126" spans="2:30" x14ac:dyDescent="0.15">
      <c r="C126" s="34">
        <v>60</v>
      </c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>
        <v>0</v>
      </c>
      <c r="W126" s="42"/>
      <c r="X126" s="42"/>
      <c r="Y126" s="42"/>
      <c r="Z126" s="42"/>
      <c r="AA126" s="42"/>
      <c r="AB126" s="42"/>
      <c r="AC126" s="42"/>
    </row>
    <row r="127" spans="2:30" x14ac:dyDescent="0.15">
      <c r="C127" s="34">
        <v>65</v>
      </c>
      <c r="D127" s="42">
        <v>460.06991359050437</v>
      </c>
      <c r="E127" s="42">
        <v>471.71725317507412</v>
      </c>
      <c r="F127" s="42">
        <v>483.36459275964387</v>
      </c>
      <c r="G127" s="42">
        <v>331.94917816023735</v>
      </c>
      <c r="H127" s="42">
        <v>564.895969851632</v>
      </c>
      <c r="I127" s="42">
        <v>529.95395109792275</v>
      </c>
      <c r="J127" s="42">
        <v>588.19064902077139</v>
      </c>
      <c r="K127" s="42">
        <v>512.48294172106819</v>
      </c>
      <c r="L127" s="42">
        <v>605.66165839762607</v>
      </c>
      <c r="M127" s="42">
        <v>460.06991359050437</v>
      </c>
      <c r="N127" s="42">
        <v>456.57571171513348</v>
      </c>
      <c r="O127" s="42">
        <v>506.65927192878331</v>
      </c>
      <c r="P127" s="42">
        <v>85.025578967359039</v>
      </c>
      <c r="Q127" s="42">
        <v>157.23908439169136</v>
      </c>
      <c r="R127" s="42">
        <v>232.94679169139462</v>
      </c>
      <c r="S127" s="42">
        <v>145.59174480712164</v>
      </c>
      <c r="T127" s="42">
        <v>118.80286376261127</v>
      </c>
      <c r="U127" s="42">
        <v>164.2274881424332</v>
      </c>
      <c r="V127" s="42">
        <v>117.63812980415429</v>
      </c>
      <c r="W127" s="42">
        <v>111.81446001186941</v>
      </c>
      <c r="X127" s="42">
        <v>48.918826255192869</v>
      </c>
      <c r="Y127" s="42">
        <v>54.742496047477736</v>
      </c>
      <c r="Z127" s="42">
        <v>112.97919397032639</v>
      </c>
      <c r="AA127" s="42">
        <v>20.965211252225515</v>
      </c>
      <c r="AB127" s="42">
        <v>173.545359810089</v>
      </c>
      <c r="AC127" s="42">
        <v>54.742496047477736</v>
      </c>
    </row>
    <row r="128" spans="2:30" x14ac:dyDescent="0.15">
      <c r="C128" s="34">
        <v>75</v>
      </c>
      <c r="D128" s="42">
        <v>155.06813056379823</v>
      </c>
      <c r="E128" s="42">
        <v>147.31472403560832</v>
      </c>
      <c r="F128" s="42">
        <v>201.58856973293769</v>
      </c>
      <c r="G128" s="42">
        <v>124.05450445103858</v>
      </c>
      <c r="H128" s="42">
        <v>186.08175667655786</v>
      </c>
      <c r="I128" s="42">
        <v>232.60219584569734</v>
      </c>
      <c r="J128" s="42">
        <v>279.12263501483682</v>
      </c>
      <c r="K128" s="42">
        <v>260.514459347181</v>
      </c>
      <c r="L128" s="42">
        <v>260.514459347181</v>
      </c>
      <c r="M128" s="42">
        <v>201.58856973293769</v>
      </c>
      <c r="N128" s="42">
        <v>170.57494362017803</v>
      </c>
      <c r="O128" s="42">
        <v>209.3419762611276</v>
      </c>
      <c r="P128" s="42">
        <v>142.66268011869437</v>
      </c>
      <c r="Q128" s="42">
        <v>88.38883442136499</v>
      </c>
      <c r="R128" s="42">
        <v>46.520439169139465</v>
      </c>
      <c r="S128" s="42">
        <v>0</v>
      </c>
      <c r="T128" s="42"/>
      <c r="U128" s="42"/>
      <c r="V128" s="42">
        <v>0</v>
      </c>
      <c r="W128" s="42"/>
      <c r="X128" s="42"/>
      <c r="Y128" s="42"/>
      <c r="Z128" s="42"/>
      <c r="AA128" s="42"/>
      <c r="AB128" s="42"/>
      <c r="AC128" s="42"/>
    </row>
    <row r="129" spans="2:29" x14ac:dyDescent="0.15">
      <c r="C129" s="34">
        <v>82</v>
      </c>
      <c r="D129" s="42">
        <v>37.072999463501482</v>
      </c>
      <c r="E129" s="42">
        <v>37.072999463501482</v>
      </c>
      <c r="F129" s="42">
        <v>55.609499195252219</v>
      </c>
      <c r="G129" s="42">
        <v>37.072999463501482</v>
      </c>
      <c r="H129" s="42">
        <v>64.877749061127588</v>
      </c>
      <c r="I129" s="42">
        <v>74.145998927002964</v>
      </c>
      <c r="J129" s="42">
        <v>46.341249329376851</v>
      </c>
      <c r="K129" s="42">
        <v>55.609499195252219</v>
      </c>
      <c r="L129" s="42">
        <v>55.609499195252219</v>
      </c>
      <c r="M129" s="42">
        <v>55.609499195252219</v>
      </c>
      <c r="N129" s="42">
        <v>46.341249329376851</v>
      </c>
      <c r="O129" s="42">
        <v>68.585049007477735</v>
      </c>
      <c r="P129" s="42">
        <v>74.145998927002964</v>
      </c>
      <c r="Q129" s="42">
        <v>176.09674745163201</v>
      </c>
      <c r="R129" s="42">
        <v>344.77889501056376</v>
      </c>
      <c r="S129" s="42">
        <v>7.4145998927002958</v>
      </c>
      <c r="T129" s="42"/>
      <c r="U129" s="42"/>
      <c r="V129" s="42">
        <v>0</v>
      </c>
      <c r="W129" s="42"/>
      <c r="X129" s="42"/>
      <c r="Y129" s="42"/>
      <c r="Z129" s="42"/>
      <c r="AA129" s="42"/>
      <c r="AB129" s="42"/>
      <c r="AC129" s="42"/>
    </row>
    <row r="130" spans="2:29" x14ac:dyDescent="0.15">
      <c r="C130" s="34">
        <v>85</v>
      </c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>
        <v>0</v>
      </c>
      <c r="W130" s="42"/>
      <c r="X130" s="42"/>
      <c r="Y130" s="42"/>
      <c r="Z130" s="42"/>
      <c r="AA130" s="42"/>
      <c r="AB130" s="42"/>
      <c r="AC130" s="42"/>
    </row>
    <row r="131" spans="2:29" x14ac:dyDescent="0.15">
      <c r="C131" s="34">
        <v>98</v>
      </c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>
        <v>0</v>
      </c>
      <c r="W131" s="42"/>
      <c r="X131" s="42"/>
      <c r="Y131" s="42"/>
      <c r="Z131" s="42"/>
      <c r="AA131" s="42"/>
      <c r="AB131" s="42"/>
      <c r="AC131" s="42"/>
    </row>
    <row r="132" spans="2:29" x14ac:dyDescent="0.15">
      <c r="C132" s="34">
        <v>26</v>
      </c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>
        <v>0</v>
      </c>
      <c r="W132" s="42"/>
      <c r="X132" s="42"/>
      <c r="Y132" s="42"/>
      <c r="Z132" s="42"/>
      <c r="AA132" s="42"/>
      <c r="AB132" s="42"/>
      <c r="AC132" s="42"/>
    </row>
    <row r="133" spans="2:29" x14ac:dyDescent="0.15">
      <c r="C133" s="34">
        <v>46</v>
      </c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>
        <v>0</v>
      </c>
      <c r="W133" s="42"/>
      <c r="X133" s="42"/>
      <c r="Y133" s="42"/>
      <c r="Z133" s="42"/>
      <c r="AA133" s="42"/>
      <c r="AB133" s="42"/>
      <c r="AC133" s="42"/>
    </row>
    <row r="134" spans="2:29" x14ac:dyDescent="0.15">
      <c r="C134" s="34">
        <v>48</v>
      </c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>
        <v>0</v>
      </c>
      <c r="W134" s="42"/>
      <c r="X134" s="42"/>
      <c r="Y134" s="42"/>
      <c r="Z134" s="42"/>
      <c r="AA134" s="42"/>
      <c r="AB134" s="42"/>
      <c r="AC134" s="42"/>
    </row>
    <row r="135" spans="2:29" x14ac:dyDescent="0.15">
      <c r="C135" s="34">
        <v>78</v>
      </c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>
        <v>0</v>
      </c>
      <c r="W135" s="42"/>
      <c r="X135" s="42"/>
      <c r="Y135" s="42"/>
      <c r="Z135" s="42"/>
      <c r="AA135" s="42"/>
      <c r="AB135" s="42"/>
      <c r="AC135" s="42"/>
    </row>
    <row r="136" spans="2:29" x14ac:dyDescent="0.15">
      <c r="B136" s="34" t="s">
        <v>92</v>
      </c>
      <c r="D136" s="42">
        <v>1429.305000099703</v>
      </c>
      <c r="E136" s="42">
        <v>1483.0977899964389</v>
      </c>
      <c r="F136" s="42">
        <v>1661.4509510456974</v>
      </c>
      <c r="G136" s="42">
        <v>1016.8030970492581</v>
      </c>
      <c r="H136" s="42">
        <v>1643.6835892415429</v>
      </c>
      <c r="I136" s="42">
        <v>1804.6580926005931</v>
      </c>
      <c r="J136" s="42">
        <v>1839.3911484334715</v>
      </c>
      <c r="K136" s="42">
        <v>1791.7762728583975</v>
      </c>
      <c r="L136" s="42">
        <v>1775.2053478305043</v>
      </c>
      <c r="M136" s="42">
        <v>1487.5127519715134</v>
      </c>
      <c r="N136" s="42">
        <v>1332.6271193675962</v>
      </c>
      <c r="O136" s="42">
        <v>1726.6636472688424</v>
      </c>
      <c r="P136" s="42">
        <v>454.76313756676552</v>
      </c>
      <c r="Q136" s="42">
        <v>542.64334851988121</v>
      </c>
      <c r="R136" s="42">
        <v>773.69486305994053</v>
      </c>
      <c r="S136" s="42">
        <v>446.43384246124623</v>
      </c>
      <c r="T136" s="42">
        <v>342.71959023667648</v>
      </c>
      <c r="U136" s="42">
        <v>433.96829450065275</v>
      </c>
      <c r="V136" s="42">
        <v>346.6510153210682</v>
      </c>
      <c r="W136" s="42">
        <v>379.18031180154298</v>
      </c>
      <c r="X136" s="42">
        <v>454.15113534480702</v>
      </c>
      <c r="Y136" s="42">
        <v>434.50641537329369</v>
      </c>
      <c r="Z136" s="42">
        <v>275.01174441400588</v>
      </c>
      <c r="AA136" s="42">
        <v>257.07980363394654</v>
      </c>
      <c r="AB136" s="42">
        <v>538.88642677175062</v>
      </c>
      <c r="AC136" s="42">
        <v>342.87589891228481</v>
      </c>
    </row>
    <row r="137" spans="2:29" x14ac:dyDescent="0.15">
      <c r="B137" s="34" t="s">
        <v>7</v>
      </c>
      <c r="C137" s="34">
        <v>32</v>
      </c>
      <c r="D137" s="42">
        <v>19.760504175667656</v>
      </c>
      <c r="E137" s="42">
        <v>16.937575007715132</v>
      </c>
      <c r="F137" s="42">
        <v>14.114645839762611</v>
      </c>
      <c r="G137" s="42">
        <v>8.4687875038575662</v>
      </c>
      <c r="H137" s="42">
        <v>28.229291679525222</v>
      </c>
      <c r="I137" s="42">
        <v>47.989795855192874</v>
      </c>
      <c r="J137" s="42">
        <v>39.521008351335311</v>
      </c>
      <c r="K137" s="42">
        <v>45.166866687240351</v>
      </c>
      <c r="L137" s="42">
        <v>28.229291679525222</v>
      </c>
      <c r="M137" s="42">
        <v>50.812725023145397</v>
      </c>
      <c r="N137" s="42">
        <v>45.166866687240351</v>
      </c>
      <c r="O137" s="42">
        <v>33.875150015430265</v>
      </c>
      <c r="P137" s="42">
        <v>28.229291679525222</v>
      </c>
      <c r="Q137" s="42">
        <v>31.052220847477741</v>
      </c>
      <c r="R137" s="42">
        <v>64.927370862908006</v>
      </c>
      <c r="S137" s="42">
        <v>42.343937519287827</v>
      </c>
      <c r="T137" s="42">
        <v>36.698079183382788</v>
      </c>
      <c r="U137" s="42">
        <v>31.334513764272995</v>
      </c>
      <c r="V137" s="42">
        <v>52.506482523916908</v>
      </c>
      <c r="W137" s="42">
        <v>30.487635013887239</v>
      </c>
      <c r="X137" s="42">
        <v>41.497058768902072</v>
      </c>
      <c r="Y137" s="42">
        <v>33.875150015430265</v>
      </c>
      <c r="Z137" s="42">
        <v>40.932472935311573</v>
      </c>
      <c r="AA137" s="42">
        <v>27.664705845934716</v>
      </c>
      <c r="AB137" s="42">
        <v>29.64075626350148</v>
      </c>
      <c r="AC137" s="42">
        <v>26.253241261958454</v>
      </c>
    </row>
    <row r="138" spans="2:29" x14ac:dyDescent="0.15">
      <c r="C138" s="34">
        <v>40</v>
      </c>
      <c r="D138" s="42">
        <v>8.8216536498516316</v>
      </c>
      <c r="E138" s="42">
        <v>0</v>
      </c>
      <c r="F138" s="42">
        <v>0</v>
      </c>
      <c r="G138" s="42">
        <v>0</v>
      </c>
      <c r="H138" s="42">
        <v>0</v>
      </c>
      <c r="I138" s="42">
        <v>2.2054134124629079</v>
      </c>
      <c r="J138" s="42">
        <v>4.4108268249258158</v>
      </c>
      <c r="K138" s="42">
        <v>8.8216536498516316</v>
      </c>
      <c r="L138" s="42">
        <v>4.4108268249258158</v>
      </c>
      <c r="M138" s="42">
        <v>8.8216536498516316</v>
      </c>
      <c r="N138" s="42">
        <v>11.02706706231454</v>
      </c>
      <c r="O138" s="42">
        <v>6.6162402373887241</v>
      </c>
      <c r="P138" s="42"/>
      <c r="Q138" s="42">
        <v>4.8519095074183971</v>
      </c>
      <c r="R138" s="42"/>
      <c r="S138" s="42"/>
      <c r="T138" s="42"/>
      <c r="U138" s="42">
        <v>6.6162402373887241</v>
      </c>
      <c r="V138" s="42">
        <v>0</v>
      </c>
      <c r="W138" s="42"/>
      <c r="X138" s="42"/>
      <c r="Y138" s="42"/>
      <c r="Z138" s="42"/>
      <c r="AA138" s="42"/>
      <c r="AB138" s="42"/>
      <c r="AC138" s="42"/>
    </row>
    <row r="139" spans="2:29" x14ac:dyDescent="0.15">
      <c r="C139" s="34">
        <v>41.5</v>
      </c>
      <c r="D139" s="42">
        <v>21.365287029080118</v>
      </c>
      <c r="E139" s="42">
        <v>14.243524686053414</v>
      </c>
      <c r="F139" s="42">
        <v>23.73920781008902</v>
      </c>
      <c r="G139" s="42">
        <v>28.487049372106828</v>
      </c>
      <c r="H139" s="42">
        <v>47.478415620178041</v>
      </c>
      <c r="I139" s="42">
        <v>80.713306554302676</v>
      </c>
      <c r="J139" s="42">
        <v>175.67013779465876</v>
      </c>
      <c r="K139" s="42">
        <v>237.39207810089022</v>
      </c>
      <c r="L139" s="42">
        <v>223.14855341483681</v>
      </c>
      <c r="M139" s="42">
        <v>256.38344434896146</v>
      </c>
      <c r="N139" s="42">
        <v>301.48793918813055</v>
      </c>
      <c r="O139" s="42"/>
      <c r="P139" s="42"/>
      <c r="Q139" s="42"/>
      <c r="R139" s="42"/>
      <c r="S139" s="42"/>
      <c r="T139" s="42">
        <v>204.1571871667656</v>
      </c>
      <c r="U139" s="42">
        <v>151.93092998456973</v>
      </c>
      <c r="V139" s="42">
        <v>94.956831240356081</v>
      </c>
      <c r="W139" s="42">
        <v>103.02816189578635</v>
      </c>
      <c r="X139" s="42">
        <v>189.4388783245104</v>
      </c>
      <c r="Y139" s="42">
        <v>165.22488635821961</v>
      </c>
      <c r="Z139" s="42">
        <v>106.82643514540059</v>
      </c>
      <c r="AA139" s="42">
        <v>164.27531804581602</v>
      </c>
      <c r="AB139" s="42">
        <v>159.05269232759645</v>
      </c>
      <c r="AC139" s="42">
        <v>116.79690242563798</v>
      </c>
    </row>
    <row r="140" spans="2:29" x14ac:dyDescent="0.15">
      <c r="C140" s="34">
        <v>42</v>
      </c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>
        <v>289.34472618160237</v>
      </c>
      <c r="P140" s="42">
        <v>313.65940905400589</v>
      </c>
      <c r="Q140" s="42">
        <v>192.08599469198811</v>
      </c>
      <c r="R140" s="42">
        <v>209.10627270267059</v>
      </c>
      <c r="S140" s="42">
        <v>233.42095557507417</v>
      </c>
      <c r="T140" s="42"/>
      <c r="U140" s="42"/>
      <c r="V140" s="42"/>
      <c r="W140" s="42"/>
      <c r="X140" s="42"/>
      <c r="Y140" s="42"/>
      <c r="Z140" s="42"/>
      <c r="AA140" s="42"/>
      <c r="AB140" s="42"/>
      <c r="AC140" s="42"/>
    </row>
    <row r="141" spans="2:29" x14ac:dyDescent="0.15">
      <c r="C141" s="34">
        <v>45</v>
      </c>
      <c r="D141" s="42">
        <v>0</v>
      </c>
      <c r="E141" s="42">
        <v>8.3736790504451033</v>
      </c>
      <c r="F141" s="42">
        <v>5.5824527002967352</v>
      </c>
      <c r="G141" s="42">
        <v>16.747358100890207</v>
      </c>
      <c r="H141" s="42">
        <v>5.5824527002967352</v>
      </c>
      <c r="I141" s="42">
        <v>2.7912263501483676</v>
      </c>
      <c r="J141" s="42">
        <v>0.5582452700296735</v>
      </c>
      <c r="K141" s="42">
        <v>22.329810801186941</v>
      </c>
      <c r="L141" s="42">
        <v>22.329810801186941</v>
      </c>
      <c r="M141" s="42">
        <v>30.703489851632042</v>
      </c>
      <c r="N141" s="42">
        <v>31.819980391691388</v>
      </c>
      <c r="O141" s="42">
        <v>2.7912263501483676</v>
      </c>
      <c r="P141" s="42">
        <v>1.116490540059347</v>
      </c>
      <c r="Q141" s="42"/>
      <c r="R141" s="42"/>
      <c r="S141" s="42"/>
      <c r="T141" s="42"/>
      <c r="U141" s="42"/>
      <c r="V141" s="42">
        <v>0</v>
      </c>
      <c r="W141" s="42"/>
      <c r="X141" s="42"/>
      <c r="Y141" s="42"/>
      <c r="Z141" s="42"/>
      <c r="AA141" s="42"/>
      <c r="AB141" s="42"/>
      <c r="AC141" s="42"/>
    </row>
    <row r="142" spans="2:29" x14ac:dyDescent="0.15">
      <c r="C142" s="34">
        <v>55</v>
      </c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>
        <v>0</v>
      </c>
      <c r="W142" s="42"/>
      <c r="X142" s="42"/>
      <c r="Y142" s="42"/>
      <c r="Z142" s="42"/>
      <c r="AA142" s="42"/>
      <c r="AB142" s="42"/>
      <c r="AC142" s="42"/>
    </row>
    <row r="143" spans="2:29" x14ac:dyDescent="0.15">
      <c r="C143" s="34">
        <v>60</v>
      </c>
      <c r="D143" s="42">
        <v>49.621801780415424</v>
      </c>
      <c r="E143" s="42">
        <v>54.583981958456967</v>
      </c>
      <c r="F143" s="42">
        <v>59.546162136498509</v>
      </c>
      <c r="G143" s="42">
        <v>109.16796391691393</v>
      </c>
      <c r="H143" s="42">
        <v>104.2057837388724</v>
      </c>
      <c r="I143" s="42">
        <v>89.319243204747764</v>
      </c>
      <c r="J143" s="42">
        <v>109.16796391691393</v>
      </c>
      <c r="K143" s="42">
        <v>99.243603560830849</v>
      </c>
      <c r="L143" s="42">
        <v>94.281423382789313</v>
      </c>
      <c r="M143" s="42">
        <v>183.60066658753706</v>
      </c>
      <c r="N143" s="42">
        <v>168.71412605341246</v>
      </c>
      <c r="O143" s="42">
        <v>163.75194587537089</v>
      </c>
      <c r="P143" s="42">
        <v>129.01668462908012</v>
      </c>
      <c r="Q143" s="42">
        <v>115.12258013056379</v>
      </c>
      <c r="R143" s="42">
        <v>164.7443819109792</v>
      </c>
      <c r="S143" s="42">
        <v>158.78976569732936</v>
      </c>
      <c r="T143" s="42">
        <v>119.09232427299702</v>
      </c>
      <c r="U143" s="42">
        <v>163.75194587537089</v>
      </c>
      <c r="V143" s="42">
        <v>165.73681794658751</v>
      </c>
      <c r="W143" s="42">
        <v>191.54015487240355</v>
      </c>
      <c r="X143" s="42">
        <v>146.88053327002967</v>
      </c>
      <c r="Y143" s="42">
        <v>131.99399273590504</v>
      </c>
      <c r="Z143" s="42">
        <v>112.14527202373885</v>
      </c>
      <c r="AA143" s="42">
        <v>114.13014409495548</v>
      </c>
      <c r="AB143" s="42">
        <v>198.4872071216617</v>
      </c>
      <c r="AC143" s="42">
        <v>122.06963237982194</v>
      </c>
    </row>
    <row r="144" spans="2:29" x14ac:dyDescent="0.15">
      <c r="C144" s="34">
        <v>65</v>
      </c>
      <c r="D144" s="42"/>
      <c r="E144" s="42"/>
      <c r="F144" s="42"/>
      <c r="G144" s="42">
        <v>23.294679169139464</v>
      </c>
      <c r="H144" s="42">
        <v>52.413028130563788</v>
      </c>
      <c r="I144" s="42">
        <v>139.76807501483677</v>
      </c>
      <c r="J144" s="42">
        <v>232.94679169139462</v>
      </c>
      <c r="K144" s="42">
        <v>232.94679169139462</v>
      </c>
      <c r="L144" s="42">
        <v>314.47816878338273</v>
      </c>
      <c r="M144" s="42">
        <v>326.12550836795248</v>
      </c>
      <c r="N144" s="42">
        <v>349.42018753709192</v>
      </c>
      <c r="O144" s="42">
        <v>308.65449899109791</v>
      </c>
      <c r="P144" s="42">
        <v>372.71486670623142</v>
      </c>
      <c r="Q144" s="42">
        <v>489.18826255192874</v>
      </c>
      <c r="R144" s="42">
        <v>461.23464754896139</v>
      </c>
      <c r="S144" s="42">
        <v>471.71725317507412</v>
      </c>
      <c r="T144" s="42">
        <v>553.24863026706225</v>
      </c>
      <c r="U144" s="42">
        <v>477.54092296735899</v>
      </c>
      <c r="V144" s="42">
        <v>512.48294172106819</v>
      </c>
      <c r="W144" s="42">
        <v>349.42018753709192</v>
      </c>
      <c r="X144" s="42">
        <v>443.76363817210677</v>
      </c>
      <c r="Y144" s="42">
        <v>396.00954587537086</v>
      </c>
      <c r="Z144" s="42">
        <v>460.06991359050437</v>
      </c>
      <c r="AA144" s="42">
        <v>402.9979496261127</v>
      </c>
      <c r="AB144" s="42">
        <v>245.75886523442134</v>
      </c>
      <c r="AC144" s="42">
        <v>348.25545357863496</v>
      </c>
    </row>
    <row r="145" spans="2:29" x14ac:dyDescent="0.15">
      <c r="C145" s="34">
        <v>70</v>
      </c>
      <c r="D145" s="42">
        <v>186.41256868842731</v>
      </c>
      <c r="E145" s="42">
        <v>168.85196439169138</v>
      </c>
      <c r="F145" s="42">
        <v>135.08157151335311</v>
      </c>
      <c r="G145" s="42">
        <v>162.09788581602373</v>
      </c>
      <c r="H145" s="42">
        <v>148.58972866468844</v>
      </c>
      <c r="I145" s="42">
        <v>168.85196439169138</v>
      </c>
      <c r="J145" s="42">
        <v>398.49063596439169</v>
      </c>
      <c r="K145" s="42">
        <v>357.96616451038574</v>
      </c>
      <c r="L145" s="42">
        <v>351.21208593471812</v>
      </c>
      <c r="M145" s="42">
        <v>310.68761448071217</v>
      </c>
      <c r="N145" s="42">
        <v>303.93353590504449</v>
      </c>
      <c r="O145" s="42">
        <v>364.72024308605342</v>
      </c>
      <c r="P145" s="42">
        <v>249.90090729970328</v>
      </c>
      <c r="Q145" s="42">
        <v>351.21208593471812</v>
      </c>
      <c r="R145" s="42">
        <v>297.17945732937687</v>
      </c>
      <c r="S145" s="42">
        <v>282.32048446290798</v>
      </c>
      <c r="T145" s="42">
        <v>270.16314302670622</v>
      </c>
      <c r="U145" s="42">
        <v>272.86477445697329</v>
      </c>
      <c r="V145" s="42">
        <v>290.4253787537092</v>
      </c>
      <c r="W145" s="42">
        <v>325.546587347181</v>
      </c>
      <c r="X145" s="42">
        <v>324.19577163204747</v>
      </c>
      <c r="Y145" s="42">
        <v>297.17945732937687</v>
      </c>
      <c r="Z145" s="42">
        <v>283.67130017804152</v>
      </c>
      <c r="AA145" s="42">
        <v>195.868278694362</v>
      </c>
      <c r="AB145" s="42">
        <v>310.68761448071217</v>
      </c>
      <c r="AC145" s="42">
        <v>251.25172301483678</v>
      </c>
    </row>
    <row r="146" spans="2:29" x14ac:dyDescent="0.15">
      <c r="C146" s="34">
        <v>75</v>
      </c>
      <c r="D146" s="42"/>
      <c r="E146" s="42"/>
      <c r="F146" s="42"/>
      <c r="G146" s="42"/>
      <c r="H146" s="42"/>
      <c r="I146" s="42"/>
      <c r="J146" s="42"/>
      <c r="K146" s="42"/>
      <c r="L146" s="42"/>
      <c r="M146" s="42">
        <v>23.260219584569732</v>
      </c>
      <c r="N146" s="42">
        <v>23.260219584569732</v>
      </c>
      <c r="O146" s="42">
        <v>69.780658753709204</v>
      </c>
      <c r="P146" s="42">
        <v>62.027252225519291</v>
      </c>
      <c r="Q146" s="42">
        <v>77.534065281899117</v>
      </c>
      <c r="R146" s="42">
        <v>108.54769139465876</v>
      </c>
      <c r="S146" s="42">
        <v>116.30109792284867</v>
      </c>
      <c r="T146" s="42">
        <v>124.05450445103858</v>
      </c>
      <c r="U146" s="42">
        <v>232.60219584569734</v>
      </c>
      <c r="V146" s="42">
        <v>217.09538278931751</v>
      </c>
      <c r="W146" s="42">
        <v>291.52808545994066</v>
      </c>
      <c r="X146" s="42">
        <v>282.22399762611275</v>
      </c>
      <c r="Y146" s="42">
        <v>305.48421721068252</v>
      </c>
      <c r="Z146" s="42">
        <v>221.74742670623147</v>
      </c>
      <c r="AA146" s="42">
        <v>218.64606409495551</v>
      </c>
      <c r="AB146" s="42">
        <v>159.72017448071216</v>
      </c>
      <c r="AC146" s="42">
        <v>209.3419762611276</v>
      </c>
    </row>
    <row r="147" spans="2:29" x14ac:dyDescent="0.15">
      <c r="C147" s="34">
        <v>80</v>
      </c>
      <c r="D147" s="42">
        <v>3.5286614599406527</v>
      </c>
      <c r="E147" s="42">
        <v>1.7643307299703264</v>
      </c>
      <c r="F147" s="42">
        <v>1.7643307299703264</v>
      </c>
      <c r="G147" s="42">
        <v>1.7643307299703264</v>
      </c>
      <c r="H147" s="42">
        <v>1.7643307299703264</v>
      </c>
      <c r="I147" s="42">
        <v>0</v>
      </c>
      <c r="J147" s="42">
        <v>0</v>
      </c>
      <c r="K147" s="42">
        <v>0.35286614599406529</v>
      </c>
      <c r="L147" s="42">
        <v>0</v>
      </c>
      <c r="M147" s="42"/>
      <c r="N147" s="42"/>
      <c r="O147" s="42"/>
      <c r="P147" s="42"/>
      <c r="Q147" s="42"/>
      <c r="R147" s="42"/>
      <c r="S147" s="42"/>
      <c r="T147" s="42"/>
      <c r="U147" s="42"/>
      <c r="V147" s="42">
        <v>0</v>
      </c>
      <c r="W147" s="42"/>
      <c r="X147" s="42"/>
      <c r="Y147" s="42"/>
      <c r="Z147" s="42"/>
      <c r="AA147" s="42"/>
      <c r="AB147" s="42"/>
      <c r="AC147" s="42"/>
    </row>
    <row r="148" spans="2:29" x14ac:dyDescent="0.15">
      <c r="C148" s="34">
        <v>90</v>
      </c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>
        <v>0</v>
      </c>
      <c r="W148" s="42"/>
      <c r="X148" s="42"/>
      <c r="Y148" s="42"/>
      <c r="Z148" s="42"/>
      <c r="AA148" s="42"/>
      <c r="AB148" s="42"/>
      <c r="AC148" s="42"/>
    </row>
    <row r="149" spans="2:29" x14ac:dyDescent="0.15">
      <c r="C149" s="34">
        <v>46</v>
      </c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>
        <v>0</v>
      </c>
      <c r="W149" s="42"/>
      <c r="X149" s="42"/>
      <c r="Y149" s="42"/>
      <c r="Z149" s="42"/>
      <c r="AA149" s="42"/>
      <c r="AB149" s="42"/>
      <c r="AC149" s="42"/>
    </row>
    <row r="150" spans="2:29" x14ac:dyDescent="0.15">
      <c r="C150" s="34">
        <v>52</v>
      </c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>
        <v>0</v>
      </c>
      <c r="W150" s="42"/>
      <c r="X150" s="42"/>
      <c r="Y150" s="42"/>
      <c r="Z150" s="42"/>
      <c r="AA150" s="42"/>
      <c r="AB150" s="42"/>
      <c r="AC150" s="42"/>
    </row>
    <row r="151" spans="2:29" x14ac:dyDescent="0.15">
      <c r="B151" s="34" t="s">
        <v>93</v>
      </c>
      <c r="D151" s="42">
        <v>289.51047678338284</v>
      </c>
      <c r="E151" s="42">
        <v>264.75505582433232</v>
      </c>
      <c r="F151" s="42">
        <v>239.82837072997032</v>
      </c>
      <c r="G151" s="42">
        <v>350.02805460890204</v>
      </c>
      <c r="H151" s="42">
        <v>388.26303126409493</v>
      </c>
      <c r="I151" s="42">
        <v>531.63902478338275</v>
      </c>
      <c r="J151" s="42">
        <v>960.7656098136498</v>
      </c>
      <c r="K151" s="42">
        <v>1004.2198351477745</v>
      </c>
      <c r="L151" s="42">
        <v>1038.0901608213649</v>
      </c>
      <c r="M151" s="42">
        <v>1190.395321894362</v>
      </c>
      <c r="N151" s="42">
        <v>1234.8299224094956</v>
      </c>
      <c r="O151" s="42">
        <v>1239.5346894908012</v>
      </c>
      <c r="P151" s="42">
        <v>1156.6649021341245</v>
      </c>
      <c r="Q151" s="42">
        <v>1261.047118945994</v>
      </c>
      <c r="R151" s="42">
        <v>1305.7398217495549</v>
      </c>
      <c r="S151" s="42">
        <v>1304.8934943525221</v>
      </c>
      <c r="T151" s="42">
        <v>1307.4138683679525</v>
      </c>
      <c r="U151" s="42">
        <v>1336.6415231316319</v>
      </c>
      <c r="V151" s="42">
        <v>1333.2038349749553</v>
      </c>
      <c r="W151" s="42">
        <v>1291.5508121262908</v>
      </c>
      <c r="X151" s="42">
        <v>1427.9998777937092</v>
      </c>
      <c r="Y151" s="42">
        <v>1329.7672495249851</v>
      </c>
      <c r="Z151" s="42">
        <v>1225.3928205792283</v>
      </c>
      <c r="AA151" s="42">
        <v>1123.5824604021366</v>
      </c>
      <c r="AB151" s="42">
        <v>1103.3473099086052</v>
      </c>
      <c r="AC151" s="42">
        <v>1073.9689289220178</v>
      </c>
    </row>
    <row r="152" spans="2:29" x14ac:dyDescent="0.15">
      <c r="B152" s="34" t="s">
        <v>51</v>
      </c>
      <c r="D152" s="42">
        <v>11976.766254977061</v>
      </c>
      <c r="E152" s="42">
        <v>11955.809371834512</v>
      </c>
      <c r="F152" s="42">
        <v>13912.07070106525</v>
      </c>
      <c r="G152" s="42">
        <v>11551.2493746293</v>
      </c>
      <c r="H152" s="42">
        <v>13098.86321575188</v>
      </c>
      <c r="I152" s="42">
        <v>14359.943551734863</v>
      </c>
      <c r="J152" s="42">
        <v>14573.335723864211</v>
      </c>
      <c r="K152" s="42">
        <v>15136.548335864663</v>
      </c>
      <c r="L152" s="42">
        <v>15135.691777255799</v>
      </c>
      <c r="M152" s="42">
        <v>14489.203325479428</v>
      </c>
      <c r="N152" s="42">
        <v>14044.413931136947</v>
      </c>
      <c r="O152" s="42">
        <v>14845.212233465958</v>
      </c>
      <c r="P152" s="42">
        <v>13829.942135724175</v>
      </c>
      <c r="Q152" s="42">
        <v>13223.792893722471</v>
      </c>
      <c r="R152" s="42">
        <v>14891.397984733241</v>
      </c>
      <c r="S152" s="42">
        <v>14082.372095561308</v>
      </c>
      <c r="T152" s="42">
        <v>14228.008362151697</v>
      </c>
      <c r="U152" s="42">
        <v>13997.547484891158</v>
      </c>
      <c r="V152" s="42">
        <v>13748.120686339797</v>
      </c>
      <c r="W152" s="42">
        <v>13492.126897189317</v>
      </c>
      <c r="X152" s="42">
        <v>14725.649216202733</v>
      </c>
      <c r="Y152" s="42">
        <v>14581.059073680712</v>
      </c>
      <c r="Z152" s="42">
        <v>13951.031249791331</v>
      </c>
      <c r="AA152" s="42">
        <v>14894.928961877271</v>
      </c>
      <c r="AB152" s="42">
        <v>13999.651380367475</v>
      </c>
      <c r="AC152" s="42">
        <v>13650.453043635844</v>
      </c>
    </row>
  </sheetData>
  <phoneticPr fontId="1" type="noConversion"/>
  <hyperlinks>
    <hyperlink ref="Z1" location="Index!A1" display="Index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A4128"/>
  </sheetPr>
  <dimension ref="A1:AA4"/>
  <sheetViews>
    <sheetView showGridLines="0" zoomScale="70" zoomScaleNormal="70" workbookViewId="0">
      <selection activeCell="R5" sqref="R5"/>
    </sheetView>
  </sheetViews>
  <sheetFormatPr baseColWidth="10" defaultColWidth="8.83203125" defaultRowHeight="14" x14ac:dyDescent="0.15"/>
  <cols>
    <col min="1" max="1" width="3.1640625" style="34" customWidth="1"/>
    <col min="2" max="2" width="10.5" style="34" customWidth="1"/>
    <col min="3" max="13" width="8.83203125" style="34"/>
    <col min="14" max="14" width="9.33203125" style="34" bestFit="1" customWidth="1"/>
    <col min="15" max="16384" width="8.83203125" style="34"/>
  </cols>
  <sheetData>
    <row r="1" spans="1:27" ht="27" customHeight="1" x14ac:dyDescent="0.15">
      <c r="A1" s="36"/>
      <c r="B1" s="15" t="s">
        <v>59</v>
      </c>
      <c r="C1" s="15"/>
      <c r="D1" s="15"/>
      <c r="E1" s="15"/>
      <c r="F1" s="15"/>
      <c r="G1" s="15"/>
      <c r="H1" s="36"/>
      <c r="I1" s="36"/>
      <c r="J1" s="44"/>
      <c r="K1" s="38"/>
      <c r="L1" s="36"/>
      <c r="M1" s="36"/>
      <c r="N1" s="38"/>
      <c r="O1" s="38"/>
      <c r="P1" s="38"/>
      <c r="Q1" s="38"/>
      <c r="R1" s="38"/>
      <c r="S1" s="38"/>
      <c r="T1" s="38"/>
      <c r="U1" s="45" t="s">
        <v>44</v>
      </c>
      <c r="V1" s="38"/>
      <c r="W1" s="38"/>
      <c r="X1" s="39">
        <f>Index!K1</f>
        <v>44593</v>
      </c>
    </row>
    <row r="2" spans="1:27" x14ac:dyDescent="0.15">
      <c r="AA2" s="46"/>
    </row>
    <row r="3" spans="1:27" ht="16.5" customHeight="1" x14ac:dyDescent="0.15">
      <c r="B3" s="28" t="s">
        <v>20</v>
      </c>
      <c r="C3" s="47" t="s">
        <v>66</v>
      </c>
      <c r="D3" s="47" t="s">
        <v>67</v>
      </c>
      <c r="E3" s="47" t="s">
        <v>68</v>
      </c>
      <c r="F3" s="47" t="s">
        <v>69</v>
      </c>
      <c r="G3" s="47" t="s">
        <v>70</v>
      </c>
      <c r="H3" s="47" t="s">
        <v>71</v>
      </c>
      <c r="I3" s="47" t="s">
        <v>72</v>
      </c>
      <c r="J3" s="47" t="s">
        <v>73</v>
      </c>
      <c r="K3" s="47">
        <v>21.01</v>
      </c>
      <c r="L3" s="47" t="s">
        <v>74</v>
      </c>
      <c r="M3" s="47" t="s">
        <v>75</v>
      </c>
      <c r="N3" s="47" t="s">
        <v>76</v>
      </c>
      <c r="O3" s="47" t="s">
        <v>77</v>
      </c>
      <c r="P3" s="47" t="s">
        <v>78</v>
      </c>
      <c r="Q3" s="47">
        <v>21.07</v>
      </c>
      <c r="R3" s="47" t="s">
        <v>79</v>
      </c>
      <c r="S3" s="47" t="s">
        <v>80</v>
      </c>
      <c r="T3" s="54" t="s">
        <v>82</v>
      </c>
      <c r="U3" s="54" t="s">
        <v>83</v>
      </c>
      <c r="V3" s="54" t="s">
        <v>94</v>
      </c>
      <c r="W3" s="54" t="s">
        <v>95</v>
      </c>
      <c r="X3" s="54" t="s">
        <v>96</v>
      </c>
    </row>
    <row r="4" spans="1:27" ht="16.5" customHeight="1" x14ac:dyDescent="0.15">
      <c r="B4" s="29" t="s">
        <v>15</v>
      </c>
      <c r="C4" s="48">
        <v>44.7</v>
      </c>
      <c r="D4" s="48">
        <v>45.4</v>
      </c>
      <c r="E4" s="48">
        <v>46.068025910494967</v>
      </c>
      <c r="F4" s="48">
        <v>44.839582441247018</v>
      </c>
      <c r="G4" s="48">
        <v>46.085738318543136</v>
      </c>
      <c r="H4" s="48">
        <v>45.59780984282402</v>
      </c>
      <c r="I4" s="48">
        <v>45.777604491578288</v>
      </c>
      <c r="J4" s="48">
        <v>45.621553201922957</v>
      </c>
      <c r="K4" s="48">
        <v>45.939408213665047</v>
      </c>
      <c r="L4" s="48">
        <v>46.241022172841895</v>
      </c>
      <c r="M4" s="48">
        <v>46.286507782729444</v>
      </c>
      <c r="N4" s="48">
        <v>47.494625692504378</v>
      </c>
      <c r="O4" s="48">
        <v>47.592318567389256</v>
      </c>
      <c r="P4" s="48">
        <v>47.868959829225695</v>
      </c>
      <c r="Q4" s="48">
        <v>47.879305904958102</v>
      </c>
      <c r="R4" s="48">
        <v>48.566970528823745</v>
      </c>
      <c r="S4" s="48">
        <v>48.094365605452339</v>
      </c>
      <c r="T4" s="48">
        <v>47.76</v>
      </c>
      <c r="U4" s="48">
        <v>47.27090692124105</v>
      </c>
      <c r="V4" s="48">
        <v>46.806214119812438</v>
      </c>
      <c r="W4" s="48">
        <v>46.825943902552851</v>
      </c>
      <c r="X4" s="48">
        <v>46.56193138741471</v>
      </c>
    </row>
  </sheetData>
  <phoneticPr fontId="1" type="noConversion"/>
  <hyperlinks>
    <hyperlink ref="U1" location="Index!A1" display="Index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A4128"/>
  </sheetPr>
  <dimension ref="A1:W9"/>
  <sheetViews>
    <sheetView showGridLines="0" zoomScale="70" zoomScaleNormal="70" workbookViewId="0">
      <selection activeCell="X1" sqref="X1:X1048576"/>
    </sheetView>
  </sheetViews>
  <sheetFormatPr baseColWidth="10" defaultColWidth="8.83203125" defaultRowHeight="14" x14ac:dyDescent="0.15"/>
  <cols>
    <col min="1" max="1" width="3.1640625" style="34" customWidth="1"/>
    <col min="2" max="13" width="8.83203125" style="34"/>
    <col min="14" max="14" width="9.83203125" style="34" bestFit="1" customWidth="1"/>
    <col min="15" max="22" width="8.83203125" style="34"/>
    <col min="23" max="23" width="10" style="34" bestFit="1" customWidth="1"/>
    <col min="24" max="16384" width="8.83203125" style="34"/>
  </cols>
  <sheetData>
    <row r="1" spans="1:23" ht="27" customHeight="1" x14ac:dyDescent="0.15">
      <c r="A1" s="36"/>
      <c r="B1" s="15" t="s">
        <v>60</v>
      </c>
      <c r="C1" s="15"/>
      <c r="D1" s="15"/>
      <c r="E1" s="15"/>
      <c r="F1" s="15"/>
      <c r="G1" s="15"/>
      <c r="H1" s="36"/>
      <c r="I1" s="36"/>
      <c r="J1" s="44"/>
      <c r="K1" s="38"/>
      <c r="L1" s="36"/>
      <c r="M1" s="36"/>
      <c r="N1" s="38"/>
      <c r="O1" s="38"/>
      <c r="P1" s="38"/>
      <c r="Q1" s="38"/>
      <c r="R1" s="38"/>
      <c r="S1" s="38"/>
      <c r="T1" s="45" t="s">
        <v>44</v>
      </c>
      <c r="U1" s="38"/>
      <c r="V1" s="38"/>
      <c r="W1" s="39">
        <f>'Important Notice'!L1</f>
        <v>44593</v>
      </c>
    </row>
    <row r="3" spans="1:23" ht="17.25" customHeight="1" x14ac:dyDescent="0.15">
      <c r="B3" s="49" t="s">
        <v>46</v>
      </c>
      <c r="C3" s="53">
        <v>20.059999999999999</v>
      </c>
      <c r="D3" s="53">
        <v>20.07</v>
      </c>
      <c r="E3" s="53">
        <v>20.079999999999998</v>
      </c>
      <c r="F3" s="53">
        <v>20.09</v>
      </c>
      <c r="G3" s="53">
        <v>20.100000000000001</v>
      </c>
      <c r="H3" s="53">
        <v>20.11</v>
      </c>
      <c r="I3" s="53">
        <v>20.12</v>
      </c>
      <c r="J3" s="53">
        <v>21.01</v>
      </c>
      <c r="K3" s="53">
        <v>21.02</v>
      </c>
      <c r="L3" s="53">
        <v>21.03</v>
      </c>
      <c r="M3" s="53">
        <v>21.04</v>
      </c>
      <c r="N3" s="53">
        <v>21.05</v>
      </c>
      <c r="O3" s="53">
        <v>21.06</v>
      </c>
      <c r="P3" s="53">
        <v>21.07</v>
      </c>
      <c r="Q3" s="53">
        <v>21.08</v>
      </c>
      <c r="R3" s="53">
        <v>21.09</v>
      </c>
      <c r="S3" s="55" t="s">
        <v>82</v>
      </c>
      <c r="T3" s="55" t="s">
        <v>83</v>
      </c>
      <c r="U3" s="55" t="s">
        <v>94</v>
      </c>
      <c r="V3" s="55" t="s">
        <v>95</v>
      </c>
      <c r="W3" s="55" t="s">
        <v>96</v>
      </c>
    </row>
    <row r="4" spans="1:23" ht="17.25" customHeight="1" x14ac:dyDescent="0.15">
      <c r="B4" s="48" t="s">
        <v>61</v>
      </c>
      <c r="C4" s="50">
        <v>0.21076324188002768</v>
      </c>
      <c r="D4" s="50">
        <v>0.30020375623976331</v>
      </c>
      <c r="E4" s="50">
        <v>0.30668368386262634</v>
      </c>
      <c r="F4" s="50">
        <v>0.30163603482356899</v>
      </c>
      <c r="G4" s="50">
        <v>0.30773855535514899</v>
      </c>
      <c r="H4" s="50">
        <v>0.29083860618483204</v>
      </c>
      <c r="I4" s="50">
        <v>0.30087070985700576</v>
      </c>
      <c r="J4" s="50">
        <v>0.27887336802702456</v>
      </c>
      <c r="K4" s="50">
        <v>0.29370561808608281</v>
      </c>
      <c r="L4" s="50">
        <v>0.29266507352149668</v>
      </c>
      <c r="M4" s="50">
        <v>0.25626213362375111</v>
      </c>
      <c r="N4" s="50">
        <v>0.26220546654099908</v>
      </c>
      <c r="O4" s="50">
        <v>0.26246846497186105</v>
      </c>
      <c r="P4" s="50">
        <v>0.26875383792563834</v>
      </c>
      <c r="Q4" s="50">
        <v>0.24203656704822085</v>
      </c>
      <c r="R4" s="50">
        <v>0.25795910745962097</v>
      </c>
      <c r="S4" s="50">
        <v>0.26139111028454526</v>
      </c>
      <c r="T4" s="50">
        <v>0.28214797136038189</v>
      </c>
      <c r="U4" s="50">
        <v>0.29519260265568165</v>
      </c>
      <c r="V4" s="56">
        <v>0.29906193120828861</v>
      </c>
      <c r="W4" s="56">
        <v>0.30870924943138739</v>
      </c>
    </row>
    <row r="5" spans="1:23" ht="17.25" customHeight="1" x14ac:dyDescent="0.15">
      <c r="B5" s="48" t="s">
        <v>16</v>
      </c>
      <c r="C5" s="50">
        <v>1.286035612917036E-2</v>
      </c>
      <c r="D5" s="50">
        <v>1.4988465398367344E-2</v>
      </c>
      <c r="E5" s="50">
        <v>1.455053400459797E-2</v>
      </c>
      <c r="F5" s="50">
        <v>1.6822980190940823E-2</v>
      </c>
      <c r="G5" s="50">
        <v>1.5889375590483552E-2</v>
      </c>
      <c r="H5" s="50">
        <v>1.6709740664824883E-2</v>
      </c>
      <c r="I5" s="50">
        <v>1.676860581619093E-2</v>
      </c>
      <c r="J5" s="50">
        <v>1.8259837487446362E-2</v>
      </c>
      <c r="K5" s="50">
        <v>1.7390464228781218E-2</v>
      </c>
      <c r="L5" s="50">
        <v>1.5500871924045728E-2</v>
      </c>
      <c r="M5" s="50">
        <v>1.448932241109901E-2</v>
      </c>
      <c r="N5" s="50">
        <v>1.3666352497643733E-2</v>
      </c>
      <c r="O5" s="50">
        <v>8.7327770230933438E-3</v>
      </c>
      <c r="P5" s="50">
        <v>1.5846918764732681E-2</v>
      </c>
      <c r="Q5" s="50">
        <v>1.0876884031698347E-2</v>
      </c>
      <c r="R5" s="50">
        <v>2.0119503314349734E-2</v>
      </c>
      <c r="S5" s="50">
        <v>1.7667844522968199E-2</v>
      </c>
      <c r="T5" s="50">
        <v>1.6229116945107397E-2</v>
      </c>
      <c r="U5" s="50">
        <v>1.7967483237652834E-2</v>
      </c>
      <c r="V5" s="56">
        <v>1.4934428524758483E-2</v>
      </c>
      <c r="W5" s="56">
        <v>1.3315011372251705E-2</v>
      </c>
    </row>
    <row r="6" spans="1:23" ht="17.25" customHeight="1" x14ac:dyDescent="0.15">
      <c r="B6" s="48" t="s">
        <v>17</v>
      </c>
      <c r="C6" s="50">
        <v>0.21352242422141143</v>
      </c>
      <c r="D6" s="50">
        <v>0.21996116032444596</v>
      </c>
      <c r="E6" s="50">
        <v>0.22827709205499272</v>
      </c>
      <c r="F6" s="50">
        <v>0.2255541069100391</v>
      </c>
      <c r="G6" s="50">
        <v>0.23232843768788114</v>
      </c>
      <c r="H6" s="50">
        <v>0.24440780679083859</v>
      </c>
      <c r="I6" s="50">
        <v>0.24410897916919944</v>
      </c>
      <c r="J6" s="50">
        <v>0.26476764356797222</v>
      </c>
      <c r="K6" s="50">
        <v>0.23984348582194098</v>
      </c>
      <c r="L6" s="50">
        <v>0.23888565954057137</v>
      </c>
      <c r="M6" s="50">
        <v>0.24655523462285145</v>
      </c>
      <c r="N6" s="50">
        <v>0.22888784165881243</v>
      </c>
      <c r="O6" s="50">
        <v>0.22273432951678634</v>
      </c>
      <c r="P6" s="50">
        <v>0.2106649763286651</v>
      </c>
      <c r="Q6" s="50">
        <v>0.22194022893251153</v>
      </c>
      <c r="R6" s="50">
        <v>0.22210811315470078</v>
      </c>
      <c r="S6" s="50">
        <v>0.23609819602008555</v>
      </c>
      <c r="T6" s="50">
        <v>0.23818615751789976</v>
      </c>
      <c r="U6" s="50">
        <v>0.23384022086857442</v>
      </c>
      <c r="V6" s="56">
        <v>0.23419050730386895</v>
      </c>
      <c r="W6" s="56">
        <v>0.23616376042456405</v>
      </c>
    </row>
    <row r="7" spans="1:23" ht="17.25" customHeight="1" x14ac:dyDescent="0.15">
      <c r="B7" s="48" t="s">
        <v>18</v>
      </c>
      <c r="C7" s="50">
        <v>0.15399923158194442</v>
      </c>
      <c r="D7" s="50">
        <v>0.14115224370810289</v>
      </c>
      <c r="E7" s="50">
        <v>0.12904245014363455</v>
      </c>
      <c r="F7" s="50">
        <v>0.12449005341296211</v>
      </c>
      <c r="G7" s="50">
        <v>0.12492484754788284</v>
      </c>
      <c r="H7" s="50">
        <v>0.13167275643882007</v>
      </c>
      <c r="I7" s="50">
        <v>0.12509379938878432</v>
      </c>
      <c r="J7" s="50">
        <v>0.12896010225508994</v>
      </c>
      <c r="K7" s="50">
        <v>0.11893145258683155</v>
      </c>
      <c r="L7" s="50">
        <v>0.12090680100755667</v>
      </c>
      <c r="M7" s="50">
        <v>0.12396420285051375</v>
      </c>
      <c r="N7" s="50">
        <v>0.13600377002827521</v>
      </c>
      <c r="O7" s="50">
        <v>0.13006986221618475</v>
      </c>
      <c r="P7" s="50">
        <v>0.12702295822356041</v>
      </c>
      <c r="Q7" s="50">
        <v>0.13368208421815922</v>
      </c>
      <c r="R7" s="50">
        <v>0.12155727756511997</v>
      </c>
      <c r="S7" s="50">
        <v>0.12125720662079226</v>
      </c>
      <c r="T7" s="50">
        <v>0.12062052505966588</v>
      </c>
      <c r="U7" s="50">
        <v>0.12213506288619133</v>
      </c>
      <c r="V7" s="56">
        <v>0.11289494562934616</v>
      </c>
      <c r="W7" s="56">
        <v>0.12258339651250948</v>
      </c>
    </row>
    <row r="8" spans="1:23" ht="17.25" customHeight="1" x14ac:dyDescent="0.15">
      <c r="B8" s="48" t="s">
        <v>19</v>
      </c>
      <c r="C8" s="50">
        <v>0.21004588838869068</v>
      </c>
      <c r="D8" s="50">
        <v>0.17586466067417683</v>
      </c>
      <c r="E8" s="50">
        <v>0.17448168919227908</v>
      </c>
      <c r="F8" s="50">
        <v>0.17613660259915043</v>
      </c>
      <c r="G8" s="50">
        <v>0.18049471785622262</v>
      </c>
      <c r="H8" s="50">
        <v>0.17636574280367168</v>
      </c>
      <c r="I8" s="50">
        <v>0.17254895384860466</v>
      </c>
      <c r="J8" s="50">
        <v>0.16374509266867524</v>
      </c>
      <c r="K8" s="50">
        <v>0.17433940389353172</v>
      </c>
      <c r="L8" s="50">
        <v>0.17744192555275679</v>
      </c>
      <c r="M8" s="50">
        <v>0.18850324352478812</v>
      </c>
      <c r="N8" s="50">
        <v>0.18916116870876531</v>
      </c>
      <c r="O8" s="50">
        <v>0.19784591500097032</v>
      </c>
      <c r="P8" s="50">
        <v>0.19565992512330882</v>
      </c>
      <c r="Q8" s="50">
        <v>0.20438183042419847</v>
      </c>
      <c r="R8" s="50">
        <v>0.19218560358509942</v>
      </c>
      <c r="S8" s="50">
        <v>0.18746512925423098</v>
      </c>
      <c r="T8" s="50">
        <v>0.16782816229116945</v>
      </c>
      <c r="U8" s="50">
        <v>0.16635260090275647</v>
      </c>
      <c r="V8" s="56">
        <v>0.17272599990665982</v>
      </c>
      <c r="W8" s="56">
        <v>0.15693707354056102</v>
      </c>
    </row>
    <row r="9" spans="1:23" ht="17.25" customHeight="1" x14ac:dyDescent="0.15">
      <c r="B9" s="48" t="s">
        <v>62</v>
      </c>
      <c r="C9" s="50">
        <v>0.19880885779875551</v>
      </c>
      <c r="D9" s="50">
        <v>0.14782971365514366</v>
      </c>
      <c r="E9" s="50">
        <v>0.14696455074186937</v>
      </c>
      <c r="F9" s="50">
        <v>0.15536022206333852</v>
      </c>
      <c r="G9" s="50">
        <v>0.13862406596238083</v>
      </c>
      <c r="H9" s="50">
        <v>0.14000534711701274</v>
      </c>
      <c r="I9" s="50">
        <v>0.14060895192021497</v>
      </c>
      <c r="J9" s="50">
        <v>0.14539395599379165</v>
      </c>
      <c r="K9" s="50">
        <v>0.15578957538283175</v>
      </c>
      <c r="L9" s="50">
        <v>0.15459966845357273</v>
      </c>
      <c r="M9" s="50">
        <v>0.17022586296699654</v>
      </c>
      <c r="N9" s="50">
        <v>0.17007540056550424</v>
      </c>
      <c r="O9" s="50">
        <v>0.17814865127110421</v>
      </c>
      <c r="P9" s="50">
        <v>0.18205138363409462</v>
      </c>
      <c r="Q9" s="50">
        <v>0.18708240534521159</v>
      </c>
      <c r="R9" s="50">
        <v>0.18607039492110913</v>
      </c>
      <c r="S9" s="50">
        <v>0.17612051329737771</v>
      </c>
      <c r="T9" s="50">
        <v>0.17498806682577567</v>
      </c>
      <c r="U9" s="50">
        <v>0.16451202944914325</v>
      </c>
      <c r="V9" s="56">
        <v>0.16619218742707798</v>
      </c>
      <c r="W9" s="56">
        <v>0.1622915087187263</v>
      </c>
    </row>
  </sheetData>
  <phoneticPr fontId="1" type="noConversion"/>
  <hyperlinks>
    <hyperlink ref="T1" location="Index!A1" display="Index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Cover </vt:lpstr>
      <vt:lpstr>Important Notice</vt:lpstr>
      <vt:lpstr>Index</vt:lpstr>
      <vt:lpstr>1. TV Panel Shipment</vt:lpstr>
      <vt:lpstr>2. TV Panel Shipment by Area</vt:lpstr>
      <vt:lpstr>3. TV Panel Average Size</vt:lpstr>
      <vt:lpstr>4. TV Panel Size Structure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2022-04-06T05:41:39Z</dcterms:modified>
</cp:coreProperties>
</file>